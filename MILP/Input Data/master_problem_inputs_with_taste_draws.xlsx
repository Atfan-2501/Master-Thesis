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fan\OneDrive\Desktop\M.Sc DDS\Sem 4\Master's Thesis\Code\MILP\Input Data\"/>
    </mc:Choice>
  </mc:AlternateContent>
  <xr:revisionPtr revIDLastSave="0" documentId="13_ncr:1_{1BF225BC-128A-4AF3-B060-0ED1B8773D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D_pairs" sheetId="1" r:id="rId1"/>
    <sheet name="Modes" sheetId="2" r:id="rId2"/>
    <sheet name="Exposure_Dij" sheetId="3" r:id="rId3"/>
    <sheet name="OD_Mode_Params" sheetId="4" r:id="rId4"/>
    <sheet name="DCM_Params" sheetId="5" r:id="rId5"/>
    <sheet name="Taste_Draws" sheetId="6" r:id="rId6"/>
    <sheet name="Global_Param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" l="1"/>
  <c r="G12" i="4"/>
  <c r="G13" i="4"/>
  <c r="G14" i="4"/>
  <c r="G15" i="4"/>
  <c r="G16" i="4"/>
  <c r="G17" i="4"/>
  <c r="G10" i="4"/>
  <c r="G4" i="4"/>
  <c r="G5" i="4"/>
  <c r="G6" i="4"/>
  <c r="G7" i="4"/>
  <c r="G8" i="4"/>
  <c r="G9" i="4"/>
  <c r="G3" i="4"/>
  <c r="G2" i="4"/>
</calcChain>
</file>

<file path=xl/sharedStrings.xml><?xml version="1.0" encoding="utf-8"?>
<sst xmlns="http://schemas.openxmlformats.org/spreadsheetml/2006/main" count="333" uniqueCount="51">
  <si>
    <t>origin_id</t>
  </si>
  <si>
    <t>destination_id</t>
  </si>
  <si>
    <t>Aarau</t>
  </si>
  <si>
    <t>Chiasso</t>
  </si>
  <si>
    <t>Stabio</t>
  </si>
  <si>
    <t>Visp</t>
  </si>
  <si>
    <t>mode_id</t>
  </si>
  <si>
    <t>description</t>
  </si>
  <si>
    <t>Road</t>
  </si>
  <si>
    <t>Intermodal</t>
  </si>
  <si>
    <t>Other</t>
  </si>
  <si>
    <t>Pure road transport</t>
  </si>
  <si>
    <t>Rail-road intermodal</t>
  </si>
  <si>
    <t>Fallback/other mode (usually fixed closed)</t>
  </si>
  <si>
    <t>exposure_TEU_per_week</t>
  </si>
  <si>
    <t>exposure_TEU_per_day</t>
  </si>
  <si>
    <t>Baselwolf</t>
  </si>
  <si>
    <t>t_hours</t>
  </si>
  <si>
    <t>distance</t>
  </si>
  <si>
    <t>p_min_chf_per_TEU</t>
  </si>
  <si>
    <t>p_max_chf_per_TEU</t>
  </si>
  <si>
    <t>f_min_dep_per_week</t>
  </si>
  <si>
    <t>f_max_dep_per_week</t>
  </si>
  <si>
    <t>CAP_TEU_per_dep</t>
  </si>
  <si>
    <t>C_fix_chf_per_dep</t>
  </si>
  <si>
    <t>C_var_chf_per_TEU</t>
  </si>
  <si>
    <t>parameter</t>
  </si>
  <si>
    <t>coef</t>
  </si>
  <si>
    <t>std err</t>
  </si>
  <si>
    <t>z</t>
  </si>
  <si>
    <t>p&gt;|z|</t>
  </si>
  <si>
    <t>[0.025</t>
  </si>
  <si>
    <t>0.975]</t>
  </si>
  <si>
    <t>ASC_Road</t>
  </si>
  <si>
    <t>ASC_Other</t>
  </si>
  <si>
    <t>cost_100</t>
  </si>
  <si>
    <t>time_h</t>
  </si>
  <si>
    <t>reliab</t>
  </si>
  <si>
    <t>freq</t>
  </si>
  <si>
    <t>draw_id</t>
  </si>
  <si>
    <t>ASC_r</t>
  </si>
  <si>
    <t>beta_cost_r_per_100CHF</t>
  </si>
  <si>
    <t>beta_time_r_per_hour</t>
  </si>
  <si>
    <t>beta_rel_r_per_fraction</t>
  </si>
  <si>
    <t>beta_freq_r_per_departure</t>
  </si>
  <si>
    <t>value</t>
  </si>
  <si>
    <t>big_M_utility</t>
  </si>
  <si>
    <t>R_min</t>
  </si>
  <si>
    <t>R_max</t>
  </si>
  <si>
    <t>planning_horizon_days</t>
  </si>
  <si>
    <t>taste_draw_count_R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</si>
</sst>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F13" sqref="F13"/>
    </sheetView>
  </sheetViews>
  <sheetFormatPr defaultRowHeight="14.4" x14ac:dyDescent="0.3"/>
  <cols>
    <col min="1" max="1" width="9.77734375" bestFit="1" customWidth="1"/>
    <col min="2" max="2" width="13.109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2</v>
      </c>
    </row>
    <row r="4" spans="1:2" x14ac:dyDescent="0.3">
      <c r="A4" t="s">
        <v>2</v>
      </c>
      <c r="B4" t="s">
        <v>4</v>
      </c>
    </row>
    <row r="5" spans="1:2" x14ac:dyDescent="0.3">
      <c r="A5" t="s">
        <v>4</v>
      </c>
      <c r="B5" t="s">
        <v>2</v>
      </c>
    </row>
    <row r="6" spans="1:2" x14ac:dyDescent="0.3">
      <c r="A6" t="s">
        <v>2</v>
      </c>
      <c r="B6" t="s">
        <v>5</v>
      </c>
    </row>
    <row r="7" spans="1:2" x14ac:dyDescent="0.3">
      <c r="A7" t="s">
        <v>5</v>
      </c>
      <c r="B7" t="s">
        <v>2</v>
      </c>
    </row>
    <row r="8" spans="1:2" x14ac:dyDescent="0.3">
      <c r="A8" t="s">
        <v>16</v>
      </c>
      <c r="B8" t="s">
        <v>3</v>
      </c>
    </row>
    <row r="9" spans="1:2" x14ac:dyDescent="0.3">
      <c r="A9" t="s">
        <v>3</v>
      </c>
      <c r="B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4.4" x14ac:dyDescent="0.3"/>
  <sheetData>
    <row r="1" spans="1:2" x14ac:dyDescent="0.3">
      <c r="A1" s="1" t="s">
        <v>6</v>
      </c>
      <c r="B1" s="1" t="s">
        <v>7</v>
      </c>
    </row>
    <row r="2" spans="1:2" x14ac:dyDescent="0.3">
      <c r="A2" t="s">
        <v>8</v>
      </c>
      <c r="B2" t="s">
        <v>11</v>
      </c>
    </row>
    <row r="3" spans="1:2" x14ac:dyDescent="0.3">
      <c r="A3" t="s">
        <v>9</v>
      </c>
      <c r="B3" t="s">
        <v>12</v>
      </c>
    </row>
    <row r="4" spans="1:2" x14ac:dyDescent="0.3">
      <c r="A4" t="s">
        <v>10</v>
      </c>
      <c r="B4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C13" sqref="C13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22.5546875" bestFit="1" customWidth="1"/>
    <col min="4" max="4" width="21.109375" bestFit="1" customWidth="1"/>
  </cols>
  <sheetData>
    <row r="1" spans="1:4" x14ac:dyDescent="0.3">
      <c r="A1" s="1" t="s">
        <v>0</v>
      </c>
      <c r="B1" s="1" t="s">
        <v>1</v>
      </c>
      <c r="C1" s="1" t="s">
        <v>14</v>
      </c>
      <c r="D1" s="1" t="s">
        <v>15</v>
      </c>
    </row>
    <row r="2" spans="1:4" x14ac:dyDescent="0.3">
      <c r="A2" t="s">
        <v>2</v>
      </c>
      <c r="B2" t="s">
        <v>3</v>
      </c>
      <c r="C2">
        <v>147</v>
      </c>
      <c r="D2">
        <v>21</v>
      </c>
    </row>
    <row r="3" spans="1:4" x14ac:dyDescent="0.3">
      <c r="A3" t="s">
        <v>3</v>
      </c>
      <c r="B3" t="s">
        <v>2</v>
      </c>
      <c r="C3">
        <v>112</v>
      </c>
      <c r="D3">
        <v>16</v>
      </c>
    </row>
    <row r="4" spans="1:4" x14ac:dyDescent="0.3">
      <c r="A4" t="s">
        <v>2</v>
      </c>
      <c r="B4" t="s">
        <v>4</v>
      </c>
      <c r="C4">
        <v>0</v>
      </c>
      <c r="D4">
        <v>0</v>
      </c>
    </row>
    <row r="5" spans="1:4" x14ac:dyDescent="0.3">
      <c r="A5" t="s">
        <v>4</v>
      </c>
      <c r="B5" t="s">
        <v>2</v>
      </c>
      <c r="C5">
        <v>0</v>
      </c>
      <c r="D5">
        <v>0</v>
      </c>
    </row>
    <row r="6" spans="1:4" x14ac:dyDescent="0.3">
      <c r="A6" t="s">
        <v>2</v>
      </c>
      <c r="B6" t="s">
        <v>5</v>
      </c>
      <c r="C6">
        <v>63</v>
      </c>
      <c r="D6">
        <v>9</v>
      </c>
    </row>
    <row r="7" spans="1:4" x14ac:dyDescent="0.3">
      <c r="A7" t="s">
        <v>5</v>
      </c>
      <c r="B7" t="s">
        <v>2</v>
      </c>
      <c r="C7">
        <v>49</v>
      </c>
      <c r="D7">
        <v>7</v>
      </c>
    </row>
    <row r="8" spans="1:4" x14ac:dyDescent="0.3">
      <c r="A8" t="s">
        <v>16</v>
      </c>
      <c r="B8" t="s">
        <v>3</v>
      </c>
      <c r="C8">
        <v>1764</v>
      </c>
      <c r="D8">
        <v>252</v>
      </c>
    </row>
    <row r="9" spans="1:4" x14ac:dyDescent="0.3">
      <c r="A9" t="s">
        <v>3</v>
      </c>
      <c r="B9" t="s">
        <v>16</v>
      </c>
      <c r="C9">
        <v>1442</v>
      </c>
      <c r="D9">
        <v>206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"/>
  <sheetViews>
    <sheetView workbookViewId="0">
      <selection activeCell="H25" sqref="H25"/>
    </sheetView>
  </sheetViews>
  <sheetFormatPr defaultRowHeight="14.4" x14ac:dyDescent="0.3"/>
  <cols>
    <col min="1" max="1" width="9" bestFit="1" customWidth="1"/>
    <col min="2" max="2" width="13.109375" bestFit="1" customWidth="1"/>
    <col min="3" max="3" width="10" bestFit="1" customWidth="1"/>
    <col min="4" max="5" width="12" bestFit="1" customWidth="1"/>
    <col min="6" max="6" width="18.33203125" bestFit="1" customWidth="1"/>
    <col min="7" max="7" width="18.6640625" bestFit="1" customWidth="1"/>
    <col min="8" max="8" width="19.5546875" bestFit="1" customWidth="1"/>
    <col min="9" max="9" width="19.88671875" bestFit="1" customWidth="1"/>
    <col min="10" max="11" width="16.88671875" bestFit="1" customWidth="1"/>
    <col min="12" max="12" width="17.77734375" bestFit="1" customWidth="1"/>
  </cols>
  <sheetData>
    <row r="1" spans="1:12" x14ac:dyDescent="0.3">
      <c r="A1" s="1" t="s">
        <v>0</v>
      </c>
      <c r="B1" s="1" t="s">
        <v>1</v>
      </c>
      <c r="C1" s="1" t="s">
        <v>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</row>
    <row r="2" spans="1:12" x14ac:dyDescent="0.3">
      <c r="A2" t="s">
        <v>2</v>
      </c>
      <c r="B2" t="s">
        <v>3</v>
      </c>
      <c r="C2" t="s">
        <v>8</v>
      </c>
      <c r="D2">
        <v>2.8</v>
      </c>
      <c r="E2">
        <v>247.95599999999999</v>
      </c>
      <c r="F2">
        <v>396.7296</v>
      </c>
      <c r="G2">
        <f>1.3*L2</f>
        <v>515.74847999999997</v>
      </c>
      <c r="H2">
        <v>0</v>
      </c>
      <c r="I2">
        <v>10000000</v>
      </c>
      <c r="J2">
        <v>10000000</v>
      </c>
      <c r="K2">
        <v>1500</v>
      </c>
      <c r="L2">
        <v>396.7296</v>
      </c>
    </row>
    <row r="3" spans="1:12" x14ac:dyDescent="0.3">
      <c r="A3" t="s">
        <v>3</v>
      </c>
      <c r="B3" t="s">
        <v>2</v>
      </c>
      <c r="C3" t="s">
        <v>8</v>
      </c>
      <c r="D3">
        <v>2.8</v>
      </c>
      <c r="E3">
        <v>245.02775</v>
      </c>
      <c r="F3">
        <v>392.0444</v>
      </c>
      <c r="G3">
        <f>1.3*L3</f>
        <v>509.65772000000004</v>
      </c>
      <c r="H3">
        <v>0</v>
      </c>
      <c r="I3">
        <v>10000000</v>
      </c>
      <c r="J3">
        <v>10000000</v>
      </c>
      <c r="K3">
        <v>1500</v>
      </c>
      <c r="L3">
        <v>392.0444</v>
      </c>
    </row>
    <row r="4" spans="1:12" x14ac:dyDescent="0.3">
      <c r="A4" t="s">
        <v>2</v>
      </c>
      <c r="B4" t="s">
        <v>4</v>
      </c>
      <c r="C4" t="s">
        <v>8</v>
      </c>
      <c r="D4">
        <v>2.86</v>
      </c>
      <c r="E4">
        <v>247.95599999999999</v>
      </c>
      <c r="F4">
        <v>396.7296</v>
      </c>
      <c r="G4">
        <f t="shared" ref="G4:G9" si="0">1.3*L4</f>
        <v>515.74847999999997</v>
      </c>
      <c r="H4">
        <v>0</v>
      </c>
      <c r="I4">
        <v>10000000</v>
      </c>
      <c r="J4">
        <v>10000000</v>
      </c>
      <c r="K4">
        <v>1500</v>
      </c>
      <c r="L4">
        <v>396.7296</v>
      </c>
    </row>
    <row r="5" spans="1:12" x14ac:dyDescent="0.3">
      <c r="A5" t="s">
        <v>4</v>
      </c>
      <c r="B5" t="s">
        <v>2</v>
      </c>
      <c r="C5" t="s">
        <v>8</v>
      </c>
      <c r="D5">
        <v>2.86</v>
      </c>
      <c r="E5">
        <v>245.02775</v>
      </c>
      <c r="F5">
        <v>392.0444</v>
      </c>
      <c r="G5">
        <f t="shared" si="0"/>
        <v>509.65772000000004</v>
      </c>
      <c r="H5">
        <v>0</v>
      </c>
      <c r="I5">
        <v>10000000</v>
      </c>
      <c r="J5">
        <v>10000000</v>
      </c>
      <c r="K5">
        <v>1500</v>
      </c>
      <c r="L5">
        <v>392.0444</v>
      </c>
    </row>
    <row r="6" spans="1:12" x14ac:dyDescent="0.3">
      <c r="A6" t="s">
        <v>2</v>
      </c>
      <c r="B6" t="s">
        <v>5</v>
      </c>
      <c r="C6" t="s">
        <v>8</v>
      </c>
      <c r="D6">
        <v>2.5</v>
      </c>
      <c r="E6">
        <v>173.01300000000001</v>
      </c>
      <c r="F6">
        <v>276.82080000000002</v>
      </c>
      <c r="G6">
        <f t="shared" si="0"/>
        <v>359.86704000000003</v>
      </c>
      <c r="H6">
        <v>0</v>
      </c>
      <c r="I6">
        <v>10000000</v>
      </c>
      <c r="J6">
        <v>10000000</v>
      </c>
      <c r="K6">
        <v>1500</v>
      </c>
      <c r="L6">
        <v>276.82080000000002</v>
      </c>
    </row>
    <row r="7" spans="1:12" x14ac:dyDescent="0.3">
      <c r="A7" t="s">
        <v>5</v>
      </c>
      <c r="B7" t="s">
        <v>2</v>
      </c>
      <c r="C7" t="s">
        <v>8</v>
      </c>
      <c r="D7">
        <v>2.5</v>
      </c>
      <c r="E7">
        <v>183.001</v>
      </c>
      <c r="F7">
        <v>292.80160000000001</v>
      </c>
      <c r="G7">
        <f t="shared" si="0"/>
        <v>380.64208000000002</v>
      </c>
      <c r="H7">
        <v>0</v>
      </c>
      <c r="I7">
        <v>10000000</v>
      </c>
      <c r="J7">
        <v>10000000</v>
      </c>
      <c r="K7">
        <v>1500</v>
      </c>
      <c r="L7">
        <v>292.80160000000001</v>
      </c>
    </row>
    <row r="8" spans="1:12" x14ac:dyDescent="0.3">
      <c r="A8" t="s">
        <v>16</v>
      </c>
      <c r="B8" t="s">
        <v>3</v>
      </c>
      <c r="C8" t="s">
        <v>8</v>
      </c>
      <c r="D8">
        <v>3.25</v>
      </c>
      <c r="E8">
        <v>285.77073015873009</v>
      </c>
      <c r="F8">
        <v>457.23316825396802</v>
      </c>
      <c r="G8">
        <f t="shared" si="0"/>
        <v>594.40311873015867</v>
      </c>
      <c r="H8">
        <v>0</v>
      </c>
      <c r="I8">
        <v>10000000</v>
      </c>
      <c r="J8">
        <v>10000000</v>
      </c>
      <c r="K8">
        <v>1500</v>
      </c>
      <c r="L8">
        <v>457.23316825396819</v>
      </c>
    </row>
    <row r="9" spans="1:12" x14ac:dyDescent="0.3">
      <c r="A9" t="s">
        <v>3</v>
      </c>
      <c r="B9" t="s">
        <v>16</v>
      </c>
      <c r="C9" t="s">
        <v>8</v>
      </c>
      <c r="D9">
        <v>3.25</v>
      </c>
      <c r="E9">
        <v>284.86388834951458</v>
      </c>
      <c r="F9">
        <v>455.78222135922329</v>
      </c>
      <c r="G9">
        <f t="shared" si="0"/>
        <v>592.51688776699029</v>
      </c>
      <c r="H9">
        <v>0</v>
      </c>
      <c r="I9">
        <v>10000000</v>
      </c>
      <c r="J9">
        <v>10000000</v>
      </c>
      <c r="K9">
        <v>1500</v>
      </c>
      <c r="L9">
        <v>455.78222135922329</v>
      </c>
    </row>
    <row r="10" spans="1:12" x14ac:dyDescent="0.3">
      <c r="A10" t="s">
        <v>2</v>
      </c>
      <c r="B10" t="s">
        <v>3</v>
      </c>
      <c r="C10" t="s">
        <v>9</v>
      </c>
      <c r="D10">
        <v>2.909322916666667</v>
      </c>
      <c r="E10">
        <v>247.95599999999999</v>
      </c>
      <c r="F10">
        <v>155.63758000000001</v>
      </c>
      <c r="G10">
        <f>1.6*L10</f>
        <v>249.02012800000003</v>
      </c>
      <c r="H10">
        <v>1</v>
      </c>
      <c r="I10">
        <v>3</v>
      </c>
      <c r="J10">
        <v>80</v>
      </c>
      <c r="K10">
        <v>4000</v>
      </c>
      <c r="L10">
        <v>155.63758000000001</v>
      </c>
    </row>
    <row r="11" spans="1:12" x14ac:dyDescent="0.3">
      <c r="A11" t="s">
        <v>3</v>
      </c>
      <c r="B11" t="s">
        <v>2</v>
      </c>
      <c r="C11" t="s">
        <v>9</v>
      </c>
      <c r="D11">
        <v>2.909322916666667</v>
      </c>
      <c r="E11">
        <v>245.02775</v>
      </c>
      <c r="F11">
        <v>155.47652625000001</v>
      </c>
      <c r="G11">
        <f t="shared" ref="G11:G17" si="1">1.6*L11</f>
        <v>248.76244200000002</v>
      </c>
      <c r="H11">
        <v>1</v>
      </c>
      <c r="I11">
        <v>3</v>
      </c>
      <c r="J11">
        <v>80</v>
      </c>
      <c r="K11">
        <v>4000</v>
      </c>
      <c r="L11">
        <v>155.47652625000001</v>
      </c>
    </row>
    <row r="12" spans="1:12" x14ac:dyDescent="0.3">
      <c r="A12" t="s">
        <v>2</v>
      </c>
      <c r="B12" t="s">
        <v>4</v>
      </c>
      <c r="C12" t="s">
        <v>9</v>
      </c>
      <c r="D12">
        <v>2.9274470899470901</v>
      </c>
      <c r="E12">
        <v>247.95599999999999</v>
      </c>
      <c r="F12">
        <v>155.63758000000001</v>
      </c>
      <c r="G12">
        <f t="shared" si="1"/>
        <v>249.02012800000003</v>
      </c>
      <c r="H12">
        <v>1</v>
      </c>
      <c r="I12">
        <v>3</v>
      </c>
      <c r="J12">
        <v>80</v>
      </c>
      <c r="K12">
        <v>4000</v>
      </c>
      <c r="L12">
        <v>155.63758000000001</v>
      </c>
    </row>
    <row r="13" spans="1:12" x14ac:dyDescent="0.3">
      <c r="A13" t="s">
        <v>4</v>
      </c>
      <c r="B13" t="s">
        <v>2</v>
      </c>
      <c r="C13" t="s">
        <v>9</v>
      </c>
      <c r="D13">
        <v>2.9274470899470901</v>
      </c>
      <c r="E13">
        <v>245.02775</v>
      </c>
      <c r="F13">
        <v>155.47652625000001</v>
      </c>
      <c r="G13">
        <f t="shared" si="1"/>
        <v>248.76244200000002</v>
      </c>
      <c r="H13">
        <v>1</v>
      </c>
      <c r="I13">
        <v>3</v>
      </c>
      <c r="J13">
        <v>80</v>
      </c>
      <c r="K13">
        <v>4000</v>
      </c>
      <c r="L13">
        <v>155.47652625000001</v>
      </c>
    </row>
    <row r="14" spans="1:12" x14ac:dyDescent="0.3">
      <c r="A14" t="s">
        <v>2</v>
      </c>
      <c r="B14" t="s">
        <v>5</v>
      </c>
      <c r="C14" t="s">
        <v>9</v>
      </c>
      <c r="D14">
        <v>3.1249691358024689</v>
      </c>
      <c r="E14">
        <v>173.01300000000001</v>
      </c>
      <c r="F14">
        <v>151.515715</v>
      </c>
      <c r="G14">
        <f t="shared" si="1"/>
        <v>242.42514400000002</v>
      </c>
      <c r="H14">
        <v>1</v>
      </c>
      <c r="I14">
        <v>3</v>
      </c>
      <c r="J14">
        <v>80</v>
      </c>
      <c r="K14">
        <v>4000</v>
      </c>
      <c r="L14">
        <v>151.515715</v>
      </c>
    </row>
    <row r="15" spans="1:12" x14ac:dyDescent="0.3">
      <c r="A15" t="s">
        <v>5</v>
      </c>
      <c r="B15" t="s">
        <v>2</v>
      </c>
      <c r="C15" t="s">
        <v>9</v>
      </c>
      <c r="D15">
        <v>2.7516269841269838</v>
      </c>
      <c r="E15">
        <v>183.001</v>
      </c>
      <c r="F15">
        <v>152.065055</v>
      </c>
      <c r="G15">
        <f t="shared" si="1"/>
        <v>243.30408800000001</v>
      </c>
      <c r="H15">
        <v>1</v>
      </c>
      <c r="I15">
        <v>3</v>
      </c>
      <c r="J15">
        <v>80</v>
      </c>
      <c r="K15">
        <v>4000</v>
      </c>
      <c r="L15">
        <v>152.065055</v>
      </c>
    </row>
    <row r="16" spans="1:12" x14ac:dyDescent="0.3">
      <c r="A16" t="s">
        <v>16</v>
      </c>
      <c r="B16" t="s">
        <v>3</v>
      </c>
      <c r="C16" t="s">
        <v>9</v>
      </c>
      <c r="D16">
        <v>3.147626763668431</v>
      </c>
      <c r="E16">
        <v>285.77073015873009</v>
      </c>
      <c r="F16">
        <v>157.71739015873021</v>
      </c>
      <c r="G16">
        <f t="shared" si="1"/>
        <v>252.34782425396835</v>
      </c>
      <c r="H16">
        <v>1</v>
      </c>
      <c r="I16">
        <v>3</v>
      </c>
      <c r="J16">
        <v>80</v>
      </c>
      <c r="K16">
        <v>4000</v>
      </c>
      <c r="L16">
        <v>157.71739015873021</v>
      </c>
    </row>
    <row r="17" spans="1:12" x14ac:dyDescent="0.3">
      <c r="A17" t="s">
        <v>3</v>
      </c>
      <c r="B17" t="s">
        <v>16</v>
      </c>
      <c r="C17" t="s">
        <v>9</v>
      </c>
      <c r="D17">
        <v>3.169861111111111</v>
      </c>
      <c r="E17">
        <v>284.86388834951458</v>
      </c>
      <c r="F17">
        <v>157.66751385922331</v>
      </c>
      <c r="G17">
        <f t="shared" si="1"/>
        <v>252.26802217475731</v>
      </c>
      <c r="H17">
        <v>1</v>
      </c>
      <c r="I17">
        <v>3</v>
      </c>
      <c r="J17">
        <v>80</v>
      </c>
      <c r="K17">
        <v>4000</v>
      </c>
      <c r="L17">
        <v>157.66751385922331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/>
  </sheetViews>
  <sheetFormatPr defaultRowHeight="14.4" x14ac:dyDescent="0.3"/>
  <sheetData>
    <row r="1" spans="1:7" x14ac:dyDescent="0.3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">
      <c r="A2" t="s">
        <v>33</v>
      </c>
      <c r="B2">
        <v>-0.3422</v>
      </c>
      <c r="C2">
        <v>8.2000000000000003E-2</v>
      </c>
      <c r="D2">
        <v>-4.1539999999999999</v>
      </c>
      <c r="E2">
        <v>0</v>
      </c>
      <c r="F2">
        <v>-0.504</v>
      </c>
      <c r="G2">
        <v>-0.18099999999999999</v>
      </c>
    </row>
    <row r="3" spans="1:7" x14ac:dyDescent="0.3">
      <c r="A3" t="s">
        <v>34</v>
      </c>
      <c r="B3">
        <v>-3.9592000000000001</v>
      </c>
      <c r="C3">
        <v>1.1040000000000001</v>
      </c>
      <c r="D3">
        <v>-3.585</v>
      </c>
      <c r="E3">
        <v>0</v>
      </c>
      <c r="F3">
        <v>-6.1230000000000002</v>
      </c>
      <c r="G3">
        <v>-1.7949999999999999</v>
      </c>
    </row>
    <row r="4" spans="1:7" x14ac:dyDescent="0.3">
      <c r="A4" t="s">
        <v>35</v>
      </c>
      <c r="B4">
        <v>-0.2359</v>
      </c>
      <c r="C4">
        <v>3.3000000000000002E-2</v>
      </c>
      <c r="D4">
        <v>-7.048</v>
      </c>
      <c r="E4">
        <v>0</v>
      </c>
      <c r="F4">
        <v>-0.30099999999999999</v>
      </c>
      <c r="G4">
        <v>-0.17</v>
      </c>
    </row>
    <row r="5" spans="1:7" x14ac:dyDescent="0.3">
      <c r="A5" t="s">
        <v>36</v>
      </c>
      <c r="B5">
        <v>-4.8800000000000003E-2</v>
      </c>
      <c r="C5">
        <v>1.4E-2</v>
      </c>
      <c r="D5">
        <v>-3.589</v>
      </c>
      <c r="E5">
        <v>0</v>
      </c>
      <c r="F5">
        <v>-7.4999999999999997E-2</v>
      </c>
      <c r="G5">
        <v>-2.1999999999999999E-2</v>
      </c>
    </row>
    <row r="6" spans="1:7" x14ac:dyDescent="0.3">
      <c r="A6" t="s">
        <v>37</v>
      </c>
      <c r="B6">
        <v>0.80410000000000004</v>
      </c>
      <c r="C6">
        <v>1.196</v>
      </c>
      <c r="D6">
        <v>0.67200000000000004</v>
      </c>
      <c r="E6">
        <v>0.502</v>
      </c>
      <c r="F6">
        <v>-1.5409999999999999</v>
      </c>
      <c r="G6">
        <v>3.149</v>
      </c>
    </row>
    <row r="7" spans="1:7" x14ac:dyDescent="0.3">
      <c r="A7" t="s">
        <v>38</v>
      </c>
      <c r="B7">
        <v>0.15820000000000001</v>
      </c>
      <c r="C7">
        <v>0.03</v>
      </c>
      <c r="D7">
        <v>5.2649999999999997</v>
      </c>
      <c r="E7">
        <v>0</v>
      </c>
      <c r="F7">
        <v>-0.217</v>
      </c>
      <c r="G7">
        <v>9.9000000000000005E-2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1"/>
  <sheetViews>
    <sheetView workbookViewId="0">
      <selection activeCell="M194" sqref="M194"/>
    </sheetView>
  </sheetViews>
  <sheetFormatPr defaultRowHeight="14.4" x14ac:dyDescent="0.3"/>
  <cols>
    <col min="1" max="1" width="7.77734375" bestFit="1" customWidth="1"/>
    <col min="2" max="2" width="10" bestFit="1" customWidth="1"/>
    <col min="3" max="3" width="7.6640625" bestFit="1" customWidth="1"/>
    <col min="4" max="4" width="22.21875" bestFit="1" customWidth="1"/>
    <col min="5" max="5" width="20.21875" bestFit="1" customWidth="1"/>
    <col min="6" max="6" width="21.109375" bestFit="1" customWidth="1"/>
    <col min="7" max="7" width="24.33203125" bestFit="1" customWidth="1"/>
  </cols>
  <sheetData>
    <row r="1" spans="1:7" x14ac:dyDescent="0.3">
      <c r="A1" s="1" t="s">
        <v>39</v>
      </c>
      <c r="B1" s="1" t="s">
        <v>6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</row>
    <row r="2" spans="1:7" x14ac:dyDescent="0.3">
      <c r="A2">
        <v>1</v>
      </c>
      <c r="B2" t="s">
        <v>8</v>
      </c>
      <c r="C2">
        <v>-0.3422</v>
      </c>
      <c r="D2">
        <v>-0.2359</v>
      </c>
      <c r="E2">
        <v>-4.8800000000000003E-2</v>
      </c>
      <c r="F2">
        <v>0.80410000000000004</v>
      </c>
      <c r="G2">
        <v>0.15820000000000001</v>
      </c>
    </row>
    <row r="3" spans="1:7" x14ac:dyDescent="0.3">
      <c r="A3">
        <v>1</v>
      </c>
      <c r="B3" t="s">
        <v>9</v>
      </c>
      <c r="C3">
        <v>0</v>
      </c>
      <c r="D3">
        <v>-0.2359</v>
      </c>
      <c r="E3">
        <v>-4.8800000000000003E-2</v>
      </c>
      <c r="F3">
        <v>0.80410000000000004</v>
      </c>
      <c r="G3">
        <v>0.15820000000000001</v>
      </c>
    </row>
    <row r="4" spans="1:7" x14ac:dyDescent="0.3">
      <c r="A4">
        <v>2</v>
      </c>
      <c r="B4" t="s">
        <v>8</v>
      </c>
      <c r="C4">
        <v>-0.3422</v>
      </c>
      <c r="D4">
        <v>-0.2359</v>
      </c>
      <c r="E4">
        <v>-4.8800000000000003E-2</v>
      </c>
      <c r="F4">
        <v>0.80410000000000004</v>
      </c>
      <c r="G4">
        <v>0.15820000000000001</v>
      </c>
    </row>
    <row r="5" spans="1:7" x14ac:dyDescent="0.3">
      <c r="A5">
        <v>2</v>
      </c>
      <c r="B5" t="s">
        <v>9</v>
      </c>
      <c r="C5">
        <v>0</v>
      </c>
      <c r="D5">
        <v>-0.2359</v>
      </c>
      <c r="E5">
        <v>-4.8800000000000003E-2</v>
      </c>
      <c r="F5">
        <v>0.80410000000000004</v>
      </c>
      <c r="G5">
        <v>0.15820000000000001</v>
      </c>
    </row>
    <row r="6" spans="1:7" x14ac:dyDescent="0.3">
      <c r="A6">
        <v>3</v>
      </c>
      <c r="B6" t="s">
        <v>8</v>
      </c>
      <c r="C6">
        <v>-0.3422</v>
      </c>
      <c r="D6">
        <v>-0.2359</v>
      </c>
      <c r="E6">
        <v>-4.8800000000000003E-2</v>
      </c>
      <c r="F6">
        <v>0.80410000000000004</v>
      </c>
      <c r="G6">
        <v>0.15820000000000001</v>
      </c>
    </row>
    <row r="7" spans="1:7" x14ac:dyDescent="0.3">
      <c r="A7">
        <v>3</v>
      </c>
      <c r="B7" t="s">
        <v>9</v>
      </c>
      <c r="C7">
        <v>0</v>
      </c>
      <c r="D7">
        <v>-0.2359</v>
      </c>
      <c r="E7">
        <v>-4.8800000000000003E-2</v>
      </c>
      <c r="F7">
        <v>0.80410000000000004</v>
      </c>
      <c r="G7">
        <v>0.15820000000000001</v>
      </c>
    </row>
    <row r="8" spans="1:7" x14ac:dyDescent="0.3">
      <c r="A8">
        <v>4</v>
      </c>
      <c r="B8" t="s">
        <v>8</v>
      </c>
      <c r="C8">
        <v>-0.3422</v>
      </c>
      <c r="D8">
        <v>-0.2359</v>
      </c>
      <c r="E8">
        <v>-4.8800000000000003E-2</v>
      </c>
      <c r="F8">
        <v>0.80410000000000004</v>
      </c>
      <c r="G8">
        <v>0.15820000000000001</v>
      </c>
    </row>
    <row r="9" spans="1:7" x14ac:dyDescent="0.3">
      <c r="A9">
        <v>4</v>
      </c>
      <c r="B9" t="s">
        <v>9</v>
      </c>
      <c r="C9">
        <v>0</v>
      </c>
      <c r="D9">
        <v>-0.2359</v>
      </c>
      <c r="E9">
        <v>-4.8800000000000003E-2</v>
      </c>
      <c r="F9">
        <v>0.80410000000000004</v>
      </c>
      <c r="G9">
        <v>0.15820000000000001</v>
      </c>
    </row>
    <row r="10" spans="1:7" x14ac:dyDescent="0.3">
      <c r="A10">
        <v>5</v>
      </c>
      <c r="B10" t="s">
        <v>8</v>
      </c>
      <c r="C10">
        <v>-0.3422</v>
      </c>
      <c r="D10">
        <v>-0.2359</v>
      </c>
      <c r="E10">
        <v>-4.8800000000000003E-2</v>
      </c>
      <c r="F10">
        <v>0.80410000000000004</v>
      </c>
      <c r="G10">
        <v>0.15820000000000001</v>
      </c>
    </row>
    <row r="11" spans="1:7" x14ac:dyDescent="0.3">
      <c r="A11">
        <v>5</v>
      </c>
      <c r="B11" t="s">
        <v>9</v>
      </c>
      <c r="C11">
        <v>0</v>
      </c>
      <c r="D11">
        <v>-0.2359</v>
      </c>
      <c r="E11">
        <v>-4.8800000000000003E-2</v>
      </c>
      <c r="F11">
        <v>0.80410000000000004</v>
      </c>
      <c r="G11">
        <v>0.15820000000000001</v>
      </c>
    </row>
    <row r="12" spans="1:7" x14ac:dyDescent="0.3">
      <c r="A12">
        <v>6</v>
      </c>
      <c r="B12" t="s">
        <v>8</v>
      </c>
      <c r="C12">
        <v>-0.3422</v>
      </c>
      <c r="D12">
        <v>-0.2359</v>
      </c>
      <c r="E12">
        <v>-4.8800000000000003E-2</v>
      </c>
      <c r="F12">
        <v>0.80410000000000004</v>
      </c>
      <c r="G12">
        <v>0.15820000000000001</v>
      </c>
    </row>
    <row r="13" spans="1:7" x14ac:dyDescent="0.3">
      <c r="A13">
        <v>6</v>
      </c>
      <c r="B13" t="s">
        <v>9</v>
      </c>
      <c r="C13">
        <v>0</v>
      </c>
      <c r="D13">
        <v>-0.2359</v>
      </c>
      <c r="E13">
        <v>-4.8800000000000003E-2</v>
      </c>
      <c r="F13">
        <v>0.80410000000000004</v>
      </c>
      <c r="G13">
        <v>0.15820000000000001</v>
      </c>
    </row>
    <row r="14" spans="1:7" x14ac:dyDescent="0.3">
      <c r="A14">
        <v>7</v>
      </c>
      <c r="B14" t="s">
        <v>8</v>
      </c>
      <c r="C14">
        <v>-0.3422</v>
      </c>
      <c r="D14">
        <v>-0.2359</v>
      </c>
      <c r="E14">
        <v>-4.8800000000000003E-2</v>
      </c>
      <c r="F14">
        <v>0.80410000000000004</v>
      </c>
      <c r="G14">
        <v>0.15820000000000001</v>
      </c>
    </row>
    <row r="15" spans="1:7" x14ac:dyDescent="0.3">
      <c r="A15">
        <v>7</v>
      </c>
      <c r="B15" t="s">
        <v>9</v>
      </c>
      <c r="C15">
        <v>0</v>
      </c>
      <c r="D15">
        <v>-0.2359</v>
      </c>
      <c r="E15">
        <v>-4.8800000000000003E-2</v>
      </c>
      <c r="F15">
        <v>0.80410000000000004</v>
      </c>
      <c r="G15">
        <v>0.15820000000000001</v>
      </c>
    </row>
    <row r="16" spans="1:7" x14ac:dyDescent="0.3">
      <c r="A16">
        <v>8</v>
      </c>
      <c r="B16" t="s">
        <v>8</v>
      </c>
      <c r="C16">
        <v>-0.3422</v>
      </c>
      <c r="D16">
        <v>-0.2359</v>
      </c>
      <c r="E16">
        <v>-4.8800000000000003E-2</v>
      </c>
      <c r="F16">
        <v>0.80410000000000004</v>
      </c>
      <c r="G16">
        <v>0.15820000000000001</v>
      </c>
    </row>
    <row r="17" spans="1:7" x14ac:dyDescent="0.3">
      <c r="A17">
        <v>8</v>
      </c>
      <c r="B17" t="s">
        <v>9</v>
      </c>
      <c r="C17">
        <v>0</v>
      </c>
      <c r="D17">
        <v>-0.2359</v>
      </c>
      <c r="E17">
        <v>-4.8800000000000003E-2</v>
      </c>
      <c r="F17">
        <v>0.80410000000000004</v>
      </c>
      <c r="G17">
        <v>0.15820000000000001</v>
      </c>
    </row>
    <row r="18" spans="1:7" x14ac:dyDescent="0.3">
      <c r="A18">
        <v>9</v>
      </c>
      <c r="B18" t="s">
        <v>8</v>
      </c>
      <c r="C18">
        <v>-0.3422</v>
      </c>
      <c r="D18">
        <v>-0.2359</v>
      </c>
      <c r="E18">
        <v>-4.8800000000000003E-2</v>
      </c>
      <c r="F18">
        <v>0.80410000000000004</v>
      </c>
      <c r="G18">
        <v>0.15820000000000001</v>
      </c>
    </row>
    <row r="19" spans="1:7" x14ac:dyDescent="0.3">
      <c r="A19">
        <v>9</v>
      </c>
      <c r="B19" t="s">
        <v>9</v>
      </c>
      <c r="C19">
        <v>0</v>
      </c>
      <c r="D19">
        <v>-0.2359</v>
      </c>
      <c r="E19">
        <v>-4.8800000000000003E-2</v>
      </c>
      <c r="F19">
        <v>0.80410000000000004</v>
      </c>
      <c r="G19">
        <v>0.15820000000000001</v>
      </c>
    </row>
    <row r="20" spans="1:7" x14ac:dyDescent="0.3">
      <c r="A20">
        <v>10</v>
      </c>
      <c r="B20" t="s">
        <v>8</v>
      </c>
      <c r="C20">
        <v>-0.3422</v>
      </c>
      <c r="D20">
        <v>-0.2359</v>
      </c>
      <c r="E20">
        <v>-4.8800000000000003E-2</v>
      </c>
      <c r="F20">
        <v>0.80410000000000004</v>
      </c>
      <c r="G20">
        <v>0.15820000000000001</v>
      </c>
    </row>
    <row r="21" spans="1:7" x14ac:dyDescent="0.3">
      <c r="A21">
        <v>10</v>
      </c>
      <c r="B21" t="s">
        <v>9</v>
      </c>
      <c r="C21">
        <v>0</v>
      </c>
      <c r="D21">
        <v>-0.2359</v>
      </c>
      <c r="E21">
        <v>-4.8800000000000003E-2</v>
      </c>
      <c r="F21">
        <v>0.80410000000000004</v>
      </c>
      <c r="G21">
        <v>0.15820000000000001</v>
      </c>
    </row>
    <row r="22" spans="1:7" x14ac:dyDescent="0.3">
      <c r="A22">
        <v>11</v>
      </c>
      <c r="B22" t="s">
        <v>8</v>
      </c>
      <c r="C22">
        <v>-0.3422</v>
      </c>
      <c r="D22">
        <v>-0.2359</v>
      </c>
      <c r="E22">
        <v>-4.8800000000000003E-2</v>
      </c>
      <c r="F22">
        <v>0.80410000000000004</v>
      </c>
      <c r="G22">
        <v>0.15820000000000001</v>
      </c>
    </row>
    <row r="23" spans="1:7" x14ac:dyDescent="0.3">
      <c r="A23">
        <v>11</v>
      </c>
      <c r="B23" t="s">
        <v>9</v>
      </c>
      <c r="C23">
        <v>0</v>
      </c>
      <c r="D23">
        <v>-0.2359</v>
      </c>
      <c r="E23">
        <v>-4.8800000000000003E-2</v>
      </c>
      <c r="F23">
        <v>0.80410000000000004</v>
      </c>
      <c r="G23">
        <v>0.15820000000000001</v>
      </c>
    </row>
    <row r="24" spans="1:7" x14ac:dyDescent="0.3">
      <c r="A24">
        <v>12</v>
      </c>
      <c r="B24" t="s">
        <v>8</v>
      </c>
      <c r="C24">
        <v>-0.3422</v>
      </c>
      <c r="D24">
        <v>-0.2359</v>
      </c>
      <c r="E24">
        <v>-4.8800000000000003E-2</v>
      </c>
      <c r="F24">
        <v>0.80410000000000004</v>
      </c>
      <c r="G24">
        <v>0.15820000000000001</v>
      </c>
    </row>
    <row r="25" spans="1:7" x14ac:dyDescent="0.3">
      <c r="A25">
        <v>12</v>
      </c>
      <c r="B25" t="s">
        <v>9</v>
      </c>
      <c r="C25">
        <v>0</v>
      </c>
      <c r="D25">
        <v>-0.2359</v>
      </c>
      <c r="E25">
        <v>-4.8800000000000003E-2</v>
      </c>
      <c r="F25">
        <v>0.80410000000000004</v>
      </c>
      <c r="G25">
        <v>0.15820000000000001</v>
      </c>
    </row>
    <row r="26" spans="1:7" x14ac:dyDescent="0.3">
      <c r="A26">
        <v>13</v>
      </c>
      <c r="B26" t="s">
        <v>8</v>
      </c>
      <c r="C26">
        <v>-0.3422</v>
      </c>
      <c r="D26">
        <v>-0.2359</v>
      </c>
      <c r="E26">
        <v>-4.8800000000000003E-2</v>
      </c>
      <c r="F26">
        <v>0.80410000000000004</v>
      </c>
      <c r="G26">
        <v>0.15820000000000001</v>
      </c>
    </row>
    <row r="27" spans="1:7" x14ac:dyDescent="0.3">
      <c r="A27">
        <v>13</v>
      </c>
      <c r="B27" t="s">
        <v>9</v>
      </c>
      <c r="C27">
        <v>0</v>
      </c>
      <c r="D27">
        <v>-0.2359</v>
      </c>
      <c r="E27">
        <v>-4.8800000000000003E-2</v>
      </c>
      <c r="F27">
        <v>0.80410000000000004</v>
      </c>
      <c r="G27">
        <v>0.15820000000000001</v>
      </c>
    </row>
    <row r="28" spans="1:7" x14ac:dyDescent="0.3">
      <c r="A28">
        <v>14</v>
      </c>
      <c r="B28" t="s">
        <v>8</v>
      </c>
      <c r="C28">
        <v>-0.3422</v>
      </c>
      <c r="D28">
        <v>-0.2359</v>
      </c>
      <c r="E28">
        <v>-4.8800000000000003E-2</v>
      </c>
      <c r="F28">
        <v>0.80410000000000004</v>
      </c>
      <c r="G28">
        <v>0.15820000000000001</v>
      </c>
    </row>
    <row r="29" spans="1:7" x14ac:dyDescent="0.3">
      <c r="A29">
        <v>14</v>
      </c>
      <c r="B29" t="s">
        <v>9</v>
      </c>
      <c r="C29">
        <v>0</v>
      </c>
      <c r="D29">
        <v>-0.2359</v>
      </c>
      <c r="E29">
        <v>-4.8800000000000003E-2</v>
      </c>
      <c r="F29">
        <v>0.80410000000000004</v>
      </c>
      <c r="G29">
        <v>0.15820000000000001</v>
      </c>
    </row>
    <row r="30" spans="1:7" x14ac:dyDescent="0.3">
      <c r="A30">
        <v>15</v>
      </c>
      <c r="B30" t="s">
        <v>8</v>
      </c>
      <c r="C30">
        <v>-0.3422</v>
      </c>
      <c r="D30">
        <v>-0.2359</v>
      </c>
      <c r="E30">
        <v>-4.8800000000000003E-2</v>
      </c>
      <c r="F30">
        <v>0.80410000000000004</v>
      </c>
      <c r="G30">
        <v>0.15820000000000001</v>
      </c>
    </row>
    <row r="31" spans="1:7" x14ac:dyDescent="0.3">
      <c r="A31">
        <v>15</v>
      </c>
      <c r="B31" t="s">
        <v>9</v>
      </c>
      <c r="C31">
        <v>0</v>
      </c>
      <c r="D31">
        <v>-0.2359</v>
      </c>
      <c r="E31">
        <v>-4.8800000000000003E-2</v>
      </c>
      <c r="F31">
        <v>0.80410000000000004</v>
      </c>
      <c r="G31">
        <v>0.15820000000000001</v>
      </c>
    </row>
    <row r="32" spans="1:7" x14ac:dyDescent="0.3">
      <c r="A32">
        <v>16</v>
      </c>
      <c r="B32" t="s">
        <v>8</v>
      </c>
      <c r="C32">
        <v>-0.3422</v>
      </c>
      <c r="D32">
        <v>-0.2359</v>
      </c>
      <c r="E32">
        <v>-4.8800000000000003E-2</v>
      </c>
      <c r="F32">
        <v>0.80410000000000004</v>
      </c>
      <c r="G32">
        <v>0.15820000000000001</v>
      </c>
    </row>
    <row r="33" spans="1:7" x14ac:dyDescent="0.3">
      <c r="A33">
        <v>16</v>
      </c>
      <c r="B33" t="s">
        <v>9</v>
      </c>
      <c r="C33">
        <v>0</v>
      </c>
      <c r="D33">
        <v>-0.2359</v>
      </c>
      <c r="E33">
        <v>-4.8800000000000003E-2</v>
      </c>
      <c r="F33">
        <v>0.80410000000000004</v>
      </c>
      <c r="G33">
        <v>0.15820000000000001</v>
      </c>
    </row>
    <row r="34" spans="1:7" x14ac:dyDescent="0.3">
      <c r="A34">
        <v>17</v>
      </c>
      <c r="B34" t="s">
        <v>8</v>
      </c>
      <c r="C34">
        <v>-0.3422</v>
      </c>
      <c r="D34">
        <v>-0.2359</v>
      </c>
      <c r="E34">
        <v>-4.8800000000000003E-2</v>
      </c>
      <c r="F34">
        <v>0.80410000000000004</v>
      </c>
      <c r="G34">
        <v>0.15820000000000001</v>
      </c>
    </row>
    <row r="35" spans="1:7" x14ac:dyDescent="0.3">
      <c r="A35">
        <v>17</v>
      </c>
      <c r="B35" t="s">
        <v>9</v>
      </c>
      <c r="C35">
        <v>0</v>
      </c>
      <c r="D35">
        <v>-0.2359</v>
      </c>
      <c r="E35">
        <v>-4.8800000000000003E-2</v>
      </c>
      <c r="F35">
        <v>0.80410000000000004</v>
      </c>
      <c r="G35">
        <v>0.15820000000000001</v>
      </c>
    </row>
    <row r="36" spans="1:7" x14ac:dyDescent="0.3">
      <c r="A36">
        <v>18</v>
      </c>
      <c r="B36" t="s">
        <v>8</v>
      </c>
      <c r="C36">
        <v>-0.3422</v>
      </c>
      <c r="D36">
        <v>-0.2359</v>
      </c>
      <c r="E36">
        <v>-4.8800000000000003E-2</v>
      </c>
      <c r="F36">
        <v>0.80410000000000004</v>
      </c>
      <c r="G36">
        <v>0.15820000000000001</v>
      </c>
    </row>
    <row r="37" spans="1:7" x14ac:dyDescent="0.3">
      <c r="A37">
        <v>18</v>
      </c>
      <c r="B37" t="s">
        <v>9</v>
      </c>
      <c r="C37">
        <v>0</v>
      </c>
      <c r="D37">
        <v>-0.2359</v>
      </c>
      <c r="E37">
        <v>-4.8800000000000003E-2</v>
      </c>
      <c r="F37">
        <v>0.80410000000000004</v>
      </c>
      <c r="G37">
        <v>0.15820000000000001</v>
      </c>
    </row>
    <row r="38" spans="1:7" x14ac:dyDescent="0.3">
      <c r="A38">
        <v>19</v>
      </c>
      <c r="B38" t="s">
        <v>8</v>
      </c>
      <c r="C38">
        <v>-0.3422</v>
      </c>
      <c r="D38">
        <v>-0.2359</v>
      </c>
      <c r="E38">
        <v>-4.8800000000000003E-2</v>
      </c>
      <c r="F38">
        <v>0.80410000000000004</v>
      </c>
      <c r="G38">
        <v>0.15820000000000001</v>
      </c>
    </row>
    <row r="39" spans="1:7" x14ac:dyDescent="0.3">
      <c r="A39">
        <v>19</v>
      </c>
      <c r="B39" t="s">
        <v>9</v>
      </c>
      <c r="C39">
        <v>0</v>
      </c>
      <c r="D39">
        <v>-0.2359</v>
      </c>
      <c r="E39">
        <v>-4.8800000000000003E-2</v>
      </c>
      <c r="F39">
        <v>0.80410000000000004</v>
      </c>
      <c r="G39">
        <v>0.15820000000000001</v>
      </c>
    </row>
    <row r="40" spans="1:7" x14ac:dyDescent="0.3">
      <c r="A40">
        <v>20</v>
      </c>
      <c r="B40" t="s">
        <v>8</v>
      </c>
      <c r="C40">
        <v>-0.3422</v>
      </c>
      <c r="D40">
        <v>-0.2359</v>
      </c>
      <c r="E40">
        <v>-4.8800000000000003E-2</v>
      </c>
      <c r="F40">
        <v>0.80410000000000004</v>
      </c>
      <c r="G40">
        <v>0.15820000000000001</v>
      </c>
    </row>
    <row r="41" spans="1:7" x14ac:dyDescent="0.3">
      <c r="A41">
        <v>20</v>
      </c>
      <c r="B41" t="s">
        <v>9</v>
      </c>
      <c r="C41">
        <v>0</v>
      </c>
      <c r="D41">
        <v>-0.2359</v>
      </c>
      <c r="E41">
        <v>-4.8800000000000003E-2</v>
      </c>
      <c r="F41">
        <v>0.80410000000000004</v>
      </c>
      <c r="G41">
        <v>0.15820000000000001</v>
      </c>
    </row>
    <row r="42" spans="1:7" x14ac:dyDescent="0.3">
      <c r="A42">
        <v>21</v>
      </c>
      <c r="B42" t="s">
        <v>8</v>
      </c>
      <c r="C42">
        <v>-0.3422</v>
      </c>
      <c r="D42">
        <v>-0.2359</v>
      </c>
      <c r="E42">
        <v>-4.8800000000000003E-2</v>
      </c>
      <c r="F42">
        <v>0.80410000000000004</v>
      </c>
      <c r="G42">
        <v>0.15820000000000001</v>
      </c>
    </row>
    <row r="43" spans="1:7" x14ac:dyDescent="0.3">
      <c r="A43">
        <v>21</v>
      </c>
      <c r="B43" t="s">
        <v>9</v>
      </c>
      <c r="C43">
        <v>0</v>
      </c>
      <c r="D43">
        <v>-0.2359</v>
      </c>
      <c r="E43">
        <v>-4.8800000000000003E-2</v>
      </c>
      <c r="F43">
        <v>0.80410000000000004</v>
      </c>
      <c r="G43">
        <v>0.15820000000000001</v>
      </c>
    </row>
    <row r="44" spans="1:7" x14ac:dyDescent="0.3">
      <c r="A44">
        <v>22</v>
      </c>
      <c r="B44" t="s">
        <v>8</v>
      </c>
      <c r="C44">
        <v>-0.3422</v>
      </c>
      <c r="D44">
        <v>-0.2359</v>
      </c>
      <c r="E44">
        <v>-4.8800000000000003E-2</v>
      </c>
      <c r="F44">
        <v>0.80410000000000004</v>
      </c>
      <c r="G44">
        <v>0.15820000000000001</v>
      </c>
    </row>
    <row r="45" spans="1:7" x14ac:dyDescent="0.3">
      <c r="A45">
        <v>22</v>
      </c>
      <c r="B45" t="s">
        <v>9</v>
      </c>
      <c r="C45">
        <v>0</v>
      </c>
      <c r="D45">
        <v>-0.2359</v>
      </c>
      <c r="E45">
        <v>-4.8800000000000003E-2</v>
      </c>
      <c r="F45">
        <v>0.80410000000000004</v>
      </c>
      <c r="G45">
        <v>0.15820000000000001</v>
      </c>
    </row>
    <row r="46" spans="1:7" x14ac:dyDescent="0.3">
      <c r="A46">
        <v>23</v>
      </c>
      <c r="B46" t="s">
        <v>8</v>
      </c>
      <c r="C46">
        <v>-0.3422</v>
      </c>
      <c r="D46">
        <v>-0.2359</v>
      </c>
      <c r="E46">
        <v>-4.8800000000000003E-2</v>
      </c>
      <c r="F46">
        <v>0.80410000000000004</v>
      </c>
      <c r="G46">
        <v>0.15820000000000001</v>
      </c>
    </row>
    <row r="47" spans="1:7" x14ac:dyDescent="0.3">
      <c r="A47">
        <v>23</v>
      </c>
      <c r="B47" t="s">
        <v>9</v>
      </c>
      <c r="C47">
        <v>0</v>
      </c>
      <c r="D47">
        <v>-0.2359</v>
      </c>
      <c r="E47">
        <v>-4.8800000000000003E-2</v>
      </c>
      <c r="F47">
        <v>0.80410000000000004</v>
      </c>
      <c r="G47">
        <v>0.15820000000000001</v>
      </c>
    </row>
    <row r="48" spans="1:7" x14ac:dyDescent="0.3">
      <c r="A48">
        <v>24</v>
      </c>
      <c r="B48" t="s">
        <v>8</v>
      </c>
      <c r="C48">
        <v>-0.3422</v>
      </c>
      <c r="D48">
        <v>-0.2359</v>
      </c>
      <c r="E48">
        <v>-4.8800000000000003E-2</v>
      </c>
      <c r="F48">
        <v>0.80410000000000004</v>
      </c>
      <c r="G48">
        <v>0.15820000000000001</v>
      </c>
    </row>
    <row r="49" spans="1:7" x14ac:dyDescent="0.3">
      <c r="A49">
        <v>24</v>
      </c>
      <c r="B49" t="s">
        <v>9</v>
      </c>
      <c r="C49">
        <v>0</v>
      </c>
      <c r="D49">
        <v>-0.2359</v>
      </c>
      <c r="E49">
        <v>-4.8800000000000003E-2</v>
      </c>
      <c r="F49">
        <v>0.80410000000000004</v>
      </c>
      <c r="G49">
        <v>0.15820000000000001</v>
      </c>
    </row>
    <row r="50" spans="1:7" x14ac:dyDescent="0.3">
      <c r="A50">
        <v>25</v>
      </c>
      <c r="B50" t="s">
        <v>8</v>
      </c>
      <c r="C50">
        <v>-0.3422</v>
      </c>
      <c r="D50">
        <v>-0.2359</v>
      </c>
      <c r="E50">
        <v>-4.8800000000000003E-2</v>
      </c>
      <c r="F50">
        <v>0.80410000000000004</v>
      </c>
      <c r="G50">
        <v>0.15820000000000001</v>
      </c>
    </row>
    <row r="51" spans="1:7" x14ac:dyDescent="0.3">
      <c r="A51">
        <v>25</v>
      </c>
      <c r="B51" t="s">
        <v>9</v>
      </c>
      <c r="C51">
        <v>0</v>
      </c>
      <c r="D51">
        <v>-0.2359</v>
      </c>
      <c r="E51">
        <v>-4.8800000000000003E-2</v>
      </c>
      <c r="F51">
        <v>0.80410000000000004</v>
      </c>
      <c r="G51">
        <v>0.15820000000000001</v>
      </c>
    </row>
    <row r="52" spans="1:7" x14ac:dyDescent="0.3">
      <c r="A52">
        <v>26</v>
      </c>
      <c r="B52" t="s">
        <v>8</v>
      </c>
      <c r="C52">
        <v>-0.3422</v>
      </c>
      <c r="D52">
        <v>-0.2359</v>
      </c>
      <c r="E52">
        <v>-4.8800000000000003E-2</v>
      </c>
      <c r="F52">
        <v>0.80410000000000004</v>
      </c>
      <c r="G52">
        <v>0.15820000000000001</v>
      </c>
    </row>
    <row r="53" spans="1:7" x14ac:dyDescent="0.3">
      <c r="A53">
        <v>26</v>
      </c>
      <c r="B53" t="s">
        <v>9</v>
      </c>
      <c r="C53">
        <v>0</v>
      </c>
      <c r="D53">
        <v>-0.2359</v>
      </c>
      <c r="E53">
        <v>-4.8800000000000003E-2</v>
      </c>
      <c r="F53">
        <v>0.80410000000000004</v>
      </c>
      <c r="G53">
        <v>0.15820000000000001</v>
      </c>
    </row>
    <row r="54" spans="1:7" x14ac:dyDescent="0.3">
      <c r="A54">
        <v>27</v>
      </c>
      <c r="B54" t="s">
        <v>8</v>
      </c>
      <c r="C54">
        <v>-0.3422</v>
      </c>
      <c r="D54">
        <v>-0.2359</v>
      </c>
      <c r="E54">
        <v>-4.8800000000000003E-2</v>
      </c>
      <c r="F54">
        <v>0.80410000000000004</v>
      </c>
      <c r="G54">
        <v>0.15820000000000001</v>
      </c>
    </row>
    <row r="55" spans="1:7" x14ac:dyDescent="0.3">
      <c r="A55">
        <v>27</v>
      </c>
      <c r="B55" t="s">
        <v>9</v>
      </c>
      <c r="C55">
        <v>0</v>
      </c>
      <c r="D55">
        <v>-0.2359</v>
      </c>
      <c r="E55">
        <v>-4.8800000000000003E-2</v>
      </c>
      <c r="F55">
        <v>0.80410000000000004</v>
      </c>
      <c r="G55">
        <v>0.15820000000000001</v>
      </c>
    </row>
    <row r="56" spans="1:7" x14ac:dyDescent="0.3">
      <c r="A56">
        <v>28</v>
      </c>
      <c r="B56" t="s">
        <v>8</v>
      </c>
      <c r="C56">
        <v>-0.3422</v>
      </c>
      <c r="D56">
        <v>-0.2359</v>
      </c>
      <c r="E56">
        <v>-4.8800000000000003E-2</v>
      </c>
      <c r="F56">
        <v>0.80410000000000004</v>
      </c>
      <c r="G56">
        <v>0.15820000000000001</v>
      </c>
    </row>
    <row r="57" spans="1:7" x14ac:dyDescent="0.3">
      <c r="A57">
        <v>28</v>
      </c>
      <c r="B57" t="s">
        <v>9</v>
      </c>
      <c r="C57">
        <v>0</v>
      </c>
      <c r="D57">
        <v>-0.2359</v>
      </c>
      <c r="E57">
        <v>-4.8800000000000003E-2</v>
      </c>
      <c r="F57">
        <v>0.80410000000000004</v>
      </c>
      <c r="G57">
        <v>0.15820000000000001</v>
      </c>
    </row>
    <row r="58" spans="1:7" x14ac:dyDescent="0.3">
      <c r="A58">
        <v>29</v>
      </c>
      <c r="B58" t="s">
        <v>8</v>
      </c>
      <c r="C58">
        <v>-0.3422</v>
      </c>
      <c r="D58">
        <v>-0.2359</v>
      </c>
      <c r="E58">
        <v>-4.8800000000000003E-2</v>
      </c>
      <c r="F58">
        <v>0.80410000000000004</v>
      </c>
      <c r="G58">
        <v>0.15820000000000001</v>
      </c>
    </row>
    <row r="59" spans="1:7" x14ac:dyDescent="0.3">
      <c r="A59">
        <v>29</v>
      </c>
      <c r="B59" t="s">
        <v>9</v>
      </c>
      <c r="C59">
        <v>0</v>
      </c>
      <c r="D59">
        <v>-0.2359</v>
      </c>
      <c r="E59">
        <v>-4.8800000000000003E-2</v>
      </c>
      <c r="F59">
        <v>0.80410000000000004</v>
      </c>
      <c r="G59">
        <v>0.15820000000000001</v>
      </c>
    </row>
    <row r="60" spans="1:7" x14ac:dyDescent="0.3">
      <c r="A60">
        <v>30</v>
      </c>
      <c r="B60" t="s">
        <v>8</v>
      </c>
      <c r="C60">
        <v>-0.3422</v>
      </c>
      <c r="D60">
        <v>-0.2359</v>
      </c>
      <c r="E60">
        <v>-4.8800000000000003E-2</v>
      </c>
      <c r="F60">
        <v>0.80410000000000004</v>
      </c>
      <c r="G60">
        <v>0.15820000000000001</v>
      </c>
    </row>
    <row r="61" spans="1:7" x14ac:dyDescent="0.3">
      <c r="A61">
        <v>30</v>
      </c>
      <c r="B61" t="s">
        <v>9</v>
      </c>
      <c r="C61">
        <v>0</v>
      </c>
      <c r="D61">
        <v>-0.2359</v>
      </c>
      <c r="E61">
        <v>-4.8800000000000003E-2</v>
      </c>
      <c r="F61">
        <v>0.80410000000000004</v>
      </c>
      <c r="G61">
        <v>0.15820000000000001</v>
      </c>
    </row>
    <row r="62" spans="1:7" x14ac:dyDescent="0.3">
      <c r="A62">
        <v>31</v>
      </c>
      <c r="B62" t="s">
        <v>8</v>
      </c>
      <c r="C62">
        <v>-0.3422</v>
      </c>
      <c r="D62">
        <v>-0.2359</v>
      </c>
      <c r="E62">
        <v>-4.8800000000000003E-2</v>
      </c>
      <c r="F62">
        <v>0.80410000000000004</v>
      </c>
      <c r="G62">
        <v>0.15820000000000001</v>
      </c>
    </row>
    <row r="63" spans="1:7" x14ac:dyDescent="0.3">
      <c r="A63">
        <v>31</v>
      </c>
      <c r="B63" t="s">
        <v>9</v>
      </c>
      <c r="C63">
        <v>0</v>
      </c>
      <c r="D63">
        <v>-0.2359</v>
      </c>
      <c r="E63">
        <v>-4.8800000000000003E-2</v>
      </c>
      <c r="F63">
        <v>0.80410000000000004</v>
      </c>
      <c r="G63">
        <v>0.15820000000000001</v>
      </c>
    </row>
    <row r="64" spans="1:7" x14ac:dyDescent="0.3">
      <c r="A64">
        <v>32</v>
      </c>
      <c r="B64" t="s">
        <v>8</v>
      </c>
      <c r="C64">
        <v>-0.3422</v>
      </c>
      <c r="D64">
        <v>-0.2359</v>
      </c>
      <c r="E64">
        <v>-4.8800000000000003E-2</v>
      </c>
      <c r="F64">
        <v>0.80410000000000004</v>
      </c>
      <c r="G64">
        <v>0.15820000000000001</v>
      </c>
    </row>
    <row r="65" spans="1:7" x14ac:dyDescent="0.3">
      <c r="A65">
        <v>32</v>
      </c>
      <c r="B65" t="s">
        <v>9</v>
      </c>
      <c r="C65">
        <v>0</v>
      </c>
      <c r="D65">
        <v>-0.2359</v>
      </c>
      <c r="E65">
        <v>-4.8800000000000003E-2</v>
      </c>
      <c r="F65">
        <v>0.80410000000000004</v>
      </c>
      <c r="G65">
        <v>0.15820000000000001</v>
      </c>
    </row>
    <row r="66" spans="1:7" x14ac:dyDescent="0.3">
      <c r="A66">
        <v>33</v>
      </c>
      <c r="B66" t="s">
        <v>8</v>
      </c>
      <c r="C66">
        <v>-0.3422</v>
      </c>
      <c r="D66">
        <v>-0.2359</v>
      </c>
      <c r="E66">
        <v>-4.8800000000000003E-2</v>
      </c>
      <c r="F66">
        <v>0.80410000000000004</v>
      </c>
      <c r="G66">
        <v>0.15820000000000001</v>
      </c>
    </row>
    <row r="67" spans="1:7" x14ac:dyDescent="0.3">
      <c r="A67">
        <v>33</v>
      </c>
      <c r="B67" t="s">
        <v>9</v>
      </c>
      <c r="C67">
        <v>0</v>
      </c>
      <c r="D67">
        <v>-0.2359</v>
      </c>
      <c r="E67">
        <v>-4.8800000000000003E-2</v>
      </c>
      <c r="F67">
        <v>0.80410000000000004</v>
      </c>
      <c r="G67">
        <v>0.15820000000000001</v>
      </c>
    </row>
    <row r="68" spans="1:7" x14ac:dyDescent="0.3">
      <c r="A68">
        <v>34</v>
      </c>
      <c r="B68" t="s">
        <v>8</v>
      </c>
      <c r="C68">
        <v>-0.3422</v>
      </c>
      <c r="D68">
        <v>-0.2359</v>
      </c>
      <c r="E68">
        <v>-4.8800000000000003E-2</v>
      </c>
      <c r="F68">
        <v>0.80410000000000004</v>
      </c>
      <c r="G68">
        <v>0.15820000000000001</v>
      </c>
    </row>
    <row r="69" spans="1:7" x14ac:dyDescent="0.3">
      <c r="A69">
        <v>34</v>
      </c>
      <c r="B69" t="s">
        <v>9</v>
      </c>
      <c r="C69">
        <v>0</v>
      </c>
      <c r="D69">
        <v>-0.2359</v>
      </c>
      <c r="E69">
        <v>-4.8800000000000003E-2</v>
      </c>
      <c r="F69">
        <v>0.80410000000000004</v>
      </c>
      <c r="G69">
        <v>0.15820000000000001</v>
      </c>
    </row>
    <row r="70" spans="1:7" x14ac:dyDescent="0.3">
      <c r="A70">
        <v>35</v>
      </c>
      <c r="B70" t="s">
        <v>8</v>
      </c>
      <c r="C70">
        <v>-0.3422</v>
      </c>
      <c r="D70">
        <v>-0.2359</v>
      </c>
      <c r="E70">
        <v>-4.8800000000000003E-2</v>
      </c>
      <c r="F70">
        <v>0.80410000000000004</v>
      </c>
      <c r="G70">
        <v>0.15820000000000001</v>
      </c>
    </row>
    <row r="71" spans="1:7" x14ac:dyDescent="0.3">
      <c r="A71">
        <v>35</v>
      </c>
      <c r="B71" t="s">
        <v>9</v>
      </c>
      <c r="C71">
        <v>0</v>
      </c>
      <c r="D71">
        <v>-0.2359</v>
      </c>
      <c r="E71">
        <v>-4.8800000000000003E-2</v>
      </c>
      <c r="F71">
        <v>0.80410000000000004</v>
      </c>
      <c r="G71">
        <v>0.15820000000000001</v>
      </c>
    </row>
    <row r="72" spans="1:7" x14ac:dyDescent="0.3">
      <c r="A72">
        <v>36</v>
      </c>
      <c r="B72" t="s">
        <v>8</v>
      </c>
      <c r="C72">
        <v>-0.3422</v>
      </c>
      <c r="D72">
        <v>-0.2359</v>
      </c>
      <c r="E72">
        <v>-4.8800000000000003E-2</v>
      </c>
      <c r="F72">
        <v>0.80410000000000004</v>
      </c>
      <c r="G72">
        <v>0.15820000000000001</v>
      </c>
    </row>
    <row r="73" spans="1:7" x14ac:dyDescent="0.3">
      <c r="A73">
        <v>36</v>
      </c>
      <c r="B73" t="s">
        <v>9</v>
      </c>
      <c r="C73">
        <v>0</v>
      </c>
      <c r="D73">
        <v>-0.2359</v>
      </c>
      <c r="E73">
        <v>-4.8800000000000003E-2</v>
      </c>
      <c r="F73">
        <v>0.80410000000000004</v>
      </c>
      <c r="G73">
        <v>0.15820000000000001</v>
      </c>
    </row>
    <row r="74" spans="1:7" x14ac:dyDescent="0.3">
      <c r="A74">
        <v>37</v>
      </c>
      <c r="B74" t="s">
        <v>8</v>
      </c>
      <c r="C74">
        <v>-0.3422</v>
      </c>
      <c r="D74">
        <v>-0.2359</v>
      </c>
      <c r="E74">
        <v>-4.8800000000000003E-2</v>
      </c>
      <c r="F74">
        <v>0.80410000000000004</v>
      </c>
      <c r="G74">
        <v>0.15820000000000001</v>
      </c>
    </row>
    <row r="75" spans="1:7" x14ac:dyDescent="0.3">
      <c r="A75">
        <v>37</v>
      </c>
      <c r="B75" t="s">
        <v>9</v>
      </c>
      <c r="C75">
        <v>0</v>
      </c>
      <c r="D75">
        <v>-0.2359</v>
      </c>
      <c r="E75">
        <v>-4.8800000000000003E-2</v>
      </c>
      <c r="F75">
        <v>0.80410000000000004</v>
      </c>
      <c r="G75">
        <v>0.15820000000000001</v>
      </c>
    </row>
    <row r="76" spans="1:7" x14ac:dyDescent="0.3">
      <c r="A76">
        <v>38</v>
      </c>
      <c r="B76" t="s">
        <v>8</v>
      </c>
      <c r="C76">
        <v>-0.3422</v>
      </c>
      <c r="D76">
        <v>-0.2359</v>
      </c>
      <c r="E76">
        <v>-4.8800000000000003E-2</v>
      </c>
      <c r="F76">
        <v>0.80410000000000004</v>
      </c>
      <c r="G76">
        <v>0.15820000000000001</v>
      </c>
    </row>
    <row r="77" spans="1:7" x14ac:dyDescent="0.3">
      <c r="A77">
        <v>38</v>
      </c>
      <c r="B77" t="s">
        <v>9</v>
      </c>
      <c r="C77">
        <v>0</v>
      </c>
      <c r="D77">
        <v>-0.2359</v>
      </c>
      <c r="E77">
        <v>-4.8800000000000003E-2</v>
      </c>
      <c r="F77">
        <v>0.80410000000000004</v>
      </c>
      <c r="G77">
        <v>0.15820000000000001</v>
      </c>
    </row>
    <row r="78" spans="1:7" x14ac:dyDescent="0.3">
      <c r="A78">
        <v>39</v>
      </c>
      <c r="B78" t="s">
        <v>8</v>
      </c>
      <c r="C78">
        <v>-0.3422</v>
      </c>
      <c r="D78">
        <v>-0.2359</v>
      </c>
      <c r="E78">
        <v>-4.8800000000000003E-2</v>
      </c>
      <c r="F78">
        <v>0.80410000000000004</v>
      </c>
      <c r="G78">
        <v>0.15820000000000001</v>
      </c>
    </row>
    <row r="79" spans="1:7" x14ac:dyDescent="0.3">
      <c r="A79">
        <v>39</v>
      </c>
      <c r="B79" t="s">
        <v>9</v>
      </c>
      <c r="C79">
        <v>0</v>
      </c>
      <c r="D79">
        <v>-0.2359</v>
      </c>
      <c r="E79">
        <v>-4.8800000000000003E-2</v>
      </c>
      <c r="F79">
        <v>0.80410000000000004</v>
      </c>
      <c r="G79">
        <v>0.15820000000000001</v>
      </c>
    </row>
    <row r="80" spans="1:7" x14ac:dyDescent="0.3">
      <c r="A80">
        <v>40</v>
      </c>
      <c r="B80" t="s">
        <v>8</v>
      </c>
      <c r="C80">
        <v>-0.3422</v>
      </c>
      <c r="D80">
        <v>-0.2359</v>
      </c>
      <c r="E80">
        <v>-4.8800000000000003E-2</v>
      </c>
      <c r="F80">
        <v>0.80410000000000004</v>
      </c>
      <c r="G80">
        <v>0.15820000000000001</v>
      </c>
    </row>
    <row r="81" spans="1:7" x14ac:dyDescent="0.3">
      <c r="A81">
        <v>40</v>
      </c>
      <c r="B81" t="s">
        <v>9</v>
      </c>
      <c r="C81">
        <v>0</v>
      </c>
      <c r="D81">
        <v>-0.2359</v>
      </c>
      <c r="E81">
        <v>-4.8800000000000003E-2</v>
      </c>
      <c r="F81">
        <v>0.80410000000000004</v>
      </c>
      <c r="G81">
        <v>0.15820000000000001</v>
      </c>
    </row>
    <row r="82" spans="1:7" x14ac:dyDescent="0.3">
      <c r="A82">
        <v>41</v>
      </c>
      <c r="B82" t="s">
        <v>8</v>
      </c>
      <c r="C82">
        <v>-0.3422</v>
      </c>
      <c r="D82">
        <v>-0.2359</v>
      </c>
      <c r="E82">
        <v>-4.8800000000000003E-2</v>
      </c>
      <c r="F82">
        <v>0.80410000000000004</v>
      </c>
      <c r="G82">
        <v>0.15820000000000001</v>
      </c>
    </row>
    <row r="83" spans="1:7" x14ac:dyDescent="0.3">
      <c r="A83">
        <v>41</v>
      </c>
      <c r="B83" t="s">
        <v>9</v>
      </c>
      <c r="C83">
        <v>0</v>
      </c>
      <c r="D83">
        <v>-0.2359</v>
      </c>
      <c r="E83">
        <v>-4.8800000000000003E-2</v>
      </c>
      <c r="F83">
        <v>0.80410000000000004</v>
      </c>
      <c r="G83">
        <v>0.15820000000000001</v>
      </c>
    </row>
    <row r="84" spans="1:7" x14ac:dyDescent="0.3">
      <c r="A84">
        <v>42</v>
      </c>
      <c r="B84" t="s">
        <v>8</v>
      </c>
      <c r="C84">
        <v>-0.3422</v>
      </c>
      <c r="D84">
        <v>-0.2359</v>
      </c>
      <c r="E84">
        <v>-4.8800000000000003E-2</v>
      </c>
      <c r="F84">
        <v>0.80410000000000004</v>
      </c>
      <c r="G84">
        <v>0.15820000000000001</v>
      </c>
    </row>
    <row r="85" spans="1:7" x14ac:dyDescent="0.3">
      <c r="A85">
        <v>42</v>
      </c>
      <c r="B85" t="s">
        <v>9</v>
      </c>
      <c r="C85">
        <v>0</v>
      </c>
      <c r="D85">
        <v>-0.2359</v>
      </c>
      <c r="E85">
        <v>-4.8800000000000003E-2</v>
      </c>
      <c r="F85">
        <v>0.80410000000000004</v>
      </c>
      <c r="G85">
        <v>0.15820000000000001</v>
      </c>
    </row>
    <row r="86" spans="1:7" x14ac:dyDescent="0.3">
      <c r="A86">
        <v>43</v>
      </c>
      <c r="B86" t="s">
        <v>8</v>
      </c>
      <c r="C86">
        <v>-0.3422</v>
      </c>
      <c r="D86">
        <v>-0.2359</v>
      </c>
      <c r="E86">
        <v>-4.8800000000000003E-2</v>
      </c>
      <c r="F86">
        <v>0.80410000000000004</v>
      </c>
      <c r="G86">
        <v>0.15820000000000001</v>
      </c>
    </row>
    <row r="87" spans="1:7" x14ac:dyDescent="0.3">
      <c r="A87">
        <v>43</v>
      </c>
      <c r="B87" t="s">
        <v>9</v>
      </c>
      <c r="C87">
        <v>0</v>
      </c>
      <c r="D87">
        <v>-0.2359</v>
      </c>
      <c r="E87">
        <v>-4.8800000000000003E-2</v>
      </c>
      <c r="F87">
        <v>0.80410000000000004</v>
      </c>
      <c r="G87">
        <v>0.15820000000000001</v>
      </c>
    </row>
    <row r="88" spans="1:7" x14ac:dyDescent="0.3">
      <c r="A88">
        <v>44</v>
      </c>
      <c r="B88" t="s">
        <v>8</v>
      </c>
      <c r="C88">
        <v>-0.3422</v>
      </c>
      <c r="D88">
        <v>-0.2359</v>
      </c>
      <c r="E88">
        <v>-4.8800000000000003E-2</v>
      </c>
      <c r="F88">
        <v>0.80410000000000004</v>
      </c>
      <c r="G88">
        <v>0.15820000000000001</v>
      </c>
    </row>
    <row r="89" spans="1:7" x14ac:dyDescent="0.3">
      <c r="A89">
        <v>44</v>
      </c>
      <c r="B89" t="s">
        <v>9</v>
      </c>
      <c r="C89">
        <v>0</v>
      </c>
      <c r="D89">
        <v>-0.2359</v>
      </c>
      <c r="E89">
        <v>-4.8800000000000003E-2</v>
      </c>
      <c r="F89">
        <v>0.80410000000000004</v>
      </c>
      <c r="G89">
        <v>0.15820000000000001</v>
      </c>
    </row>
    <row r="90" spans="1:7" x14ac:dyDescent="0.3">
      <c r="A90">
        <v>45</v>
      </c>
      <c r="B90" t="s">
        <v>8</v>
      </c>
      <c r="C90">
        <v>-0.3422</v>
      </c>
      <c r="D90">
        <v>-0.2359</v>
      </c>
      <c r="E90">
        <v>-4.8800000000000003E-2</v>
      </c>
      <c r="F90">
        <v>0.80410000000000004</v>
      </c>
      <c r="G90">
        <v>0.15820000000000001</v>
      </c>
    </row>
    <row r="91" spans="1:7" x14ac:dyDescent="0.3">
      <c r="A91">
        <v>45</v>
      </c>
      <c r="B91" t="s">
        <v>9</v>
      </c>
      <c r="C91">
        <v>0</v>
      </c>
      <c r="D91">
        <v>-0.2359</v>
      </c>
      <c r="E91">
        <v>-4.8800000000000003E-2</v>
      </c>
      <c r="F91">
        <v>0.80410000000000004</v>
      </c>
      <c r="G91">
        <v>0.15820000000000001</v>
      </c>
    </row>
    <row r="92" spans="1:7" x14ac:dyDescent="0.3">
      <c r="A92">
        <v>46</v>
      </c>
      <c r="B92" t="s">
        <v>8</v>
      </c>
      <c r="C92">
        <v>-0.3422</v>
      </c>
      <c r="D92">
        <v>-0.2359</v>
      </c>
      <c r="E92">
        <v>-4.8800000000000003E-2</v>
      </c>
      <c r="F92">
        <v>0.80410000000000004</v>
      </c>
      <c r="G92">
        <v>0.15820000000000001</v>
      </c>
    </row>
    <row r="93" spans="1:7" x14ac:dyDescent="0.3">
      <c r="A93">
        <v>46</v>
      </c>
      <c r="B93" t="s">
        <v>9</v>
      </c>
      <c r="C93">
        <v>0</v>
      </c>
      <c r="D93">
        <v>-0.2359</v>
      </c>
      <c r="E93">
        <v>-4.8800000000000003E-2</v>
      </c>
      <c r="F93">
        <v>0.80410000000000004</v>
      </c>
      <c r="G93">
        <v>0.15820000000000001</v>
      </c>
    </row>
    <row r="94" spans="1:7" x14ac:dyDescent="0.3">
      <c r="A94">
        <v>47</v>
      </c>
      <c r="B94" t="s">
        <v>8</v>
      </c>
      <c r="C94">
        <v>-0.3422</v>
      </c>
      <c r="D94">
        <v>-0.2359</v>
      </c>
      <c r="E94">
        <v>-4.8800000000000003E-2</v>
      </c>
      <c r="F94">
        <v>0.80410000000000004</v>
      </c>
      <c r="G94">
        <v>0.15820000000000001</v>
      </c>
    </row>
    <row r="95" spans="1:7" x14ac:dyDescent="0.3">
      <c r="A95">
        <v>47</v>
      </c>
      <c r="B95" t="s">
        <v>9</v>
      </c>
      <c r="C95">
        <v>0</v>
      </c>
      <c r="D95">
        <v>-0.2359</v>
      </c>
      <c r="E95">
        <v>-4.8800000000000003E-2</v>
      </c>
      <c r="F95">
        <v>0.80410000000000004</v>
      </c>
      <c r="G95">
        <v>0.15820000000000001</v>
      </c>
    </row>
    <row r="96" spans="1:7" x14ac:dyDescent="0.3">
      <c r="A96">
        <v>48</v>
      </c>
      <c r="B96" t="s">
        <v>8</v>
      </c>
      <c r="C96">
        <v>-0.3422</v>
      </c>
      <c r="D96">
        <v>-0.2359</v>
      </c>
      <c r="E96">
        <v>-4.8800000000000003E-2</v>
      </c>
      <c r="F96">
        <v>0.80410000000000004</v>
      </c>
      <c r="G96">
        <v>0.15820000000000001</v>
      </c>
    </row>
    <row r="97" spans="1:7" x14ac:dyDescent="0.3">
      <c r="A97">
        <v>48</v>
      </c>
      <c r="B97" t="s">
        <v>9</v>
      </c>
      <c r="C97">
        <v>0</v>
      </c>
      <c r="D97">
        <v>-0.2359</v>
      </c>
      <c r="E97">
        <v>-4.8800000000000003E-2</v>
      </c>
      <c r="F97">
        <v>0.80410000000000004</v>
      </c>
      <c r="G97">
        <v>0.15820000000000001</v>
      </c>
    </row>
    <row r="98" spans="1:7" x14ac:dyDescent="0.3">
      <c r="A98">
        <v>49</v>
      </c>
      <c r="B98" t="s">
        <v>8</v>
      </c>
      <c r="C98">
        <v>-0.3422</v>
      </c>
      <c r="D98">
        <v>-0.2359</v>
      </c>
      <c r="E98">
        <v>-4.8800000000000003E-2</v>
      </c>
      <c r="F98">
        <v>0.80410000000000004</v>
      </c>
      <c r="G98">
        <v>0.15820000000000001</v>
      </c>
    </row>
    <row r="99" spans="1:7" x14ac:dyDescent="0.3">
      <c r="A99">
        <v>49</v>
      </c>
      <c r="B99" t="s">
        <v>9</v>
      </c>
      <c r="C99">
        <v>0</v>
      </c>
      <c r="D99">
        <v>-0.2359</v>
      </c>
      <c r="E99">
        <v>-4.8800000000000003E-2</v>
      </c>
      <c r="F99">
        <v>0.80410000000000004</v>
      </c>
      <c r="G99">
        <v>0.15820000000000001</v>
      </c>
    </row>
    <row r="100" spans="1:7" x14ac:dyDescent="0.3">
      <c r="A100">
        <v>50</v>
      </c>
      <c r="B100" t="s">
        <v>8</v>
      </c>
      <c r="C100">
        <v>-0.3422</v>
      </c>
      <c r="D100">
        <v>-0.2359</v>
      </c>
      <c r="E100">
        <v>-4.8800000000000003E-2</v>
      </c>
      <c r="F100">
        <v>0.80410000000000004</v>
      </c>
      <c r="G100">
        <v>0.15820000000000001</v>
      </c>
    </row>
    <row r="101" spans="1:7" x14ac:dyDescent="0.3">
      <c r="A101">
        <v>50</v>
      </c>
      <c r="B101" t="s">
        <v>9</v>
      </c>
      <c r="C101">
        <v>0</v>
      </c>
      <c r="D101">
        <v>-0.2359</v>
      </c>
      <c r="E101">
        <v>-4.8800000000000003E-2</v>
      </c>
      <c r="F101">
        <v>0.80410000000000004</v>
      </c>
      <c r="G101">
        <v>0.15820000000000001</v>
      </c>
    </row>
    <row r="102" spans="1:7" x14ac:dyDescent="0.3">
      <c r="A102">
        <v>51</v>
      </c>
      <c r="B102" t="s">
        <v>8</v>
      </c>
      <c r="C102">
        <v>-0.3422</v>
      </c>
      <c r="D102">
        <v>-0.2359</v>
      </c>
      <c r="E102">
        <v>-4.8800000000000003E-2</v>
      </c>
      <c r="F102">
        <v>0.80410000000000004</v>
      </c>
      <c r="G102">
        <v>0.15820000000000001</v>
      </c>
    </row>
    <row r="103" spans="1:7" x14ac:dyDescent="0.3">
      <c r="A103">
        <v>51</v>
      </c>
      <c r="B103" t="s">
        <v>9</v>
      </c>
      <c r="C103">
        <v>0</v>
      </c>
      <c r="D103">
        <v>-0.2359</v>
      </c>
      <c r="E103">
        <v>-4.8800000000000003E-2</v>
      </c>
      <c r="F103">
        <v>0.80410000000000004</v>
      </c>
      <c r="G103">
        <v>0.15820000000000001</v>
      </c>
    </row>
    <row r="104" spans="1:7" x14ac:dyDescent="0.3">
      <c r="A104">
        <v>52</v>
      </c>
      <c r="B104" t="s">
        <v>8</v>
      </c>
      <c r="C104">
        <v>-0.3422</v>
      </c>
      <c r="D104">
        <v>-0.2359</v>
      </c>
      <c r="E104">
        <v>-4.8800000000000003E-2</v>
      </c>
      <c r="F104">
        <v>0.80410000000000004</v>
      </c>
      <c r="G104">
        <v>0.15820000000000001</v>
      </c>
    </row>
    <row r="105" spans="1:7" x14ac:dyDescent="0.3">
      <c r="A105">
        <v>52</v>
      </c>
      <c r="B105" t="s">
        <v>9</v>
      </c>
      <c r="C105">
        <v>0</v>
      </c>
      <c r="D105">
        <v>-0.2359</v>
      </c>
      <c r="E105">
        <v>-4.8800000000000003E-2</v>
      </c>
      <c r="F105">
        <v>0.80410000000000004</v>
      </c>
      <c r="G105">
        <v>0.15820000000000001</v>
      </c>
    </row>
    <row r="106" spans="1:7" x14ac:dyDescent="0.3">
      <c r="A106">
        <v>53</v>
      </c>
      <c r="B106" t="s">
        <v>8</v>
      </c>
      <c r="C106">
        <v>-0.3422</v>
      </c>
      <c r="D106">
        <v>-0.2359</v>
      </c>
      <c r="E106">
        <v>-4.8800000000000003E-2</v>
      </c>
      <c r="F106">
        <v>0.80410000000000004</v>
      </c>
      <c r="G106">
        <v>0.15820000000000001</v>
      </c>
    </row>
    <row r="107" spans="1:7" x14ac:dyDescent="0.3">
      <c r="A107">
        <v>53</v>
      </c>
      <c r="B107" t="s">
        <v>9</v>
      </c>
      <c r="C107">
        <v>0</v>
      </c>
      <c r="D107">
        <v>-0.2359</v>
      </c>
      <c r="E107">
        <v>-4.8800000000000003E-2</v>
      </c>
      <c r="F107">
        <v>0.80410000000000004</v>
      </c>
      <c r="G107">
        <v>0.15820000000000001</v>
      </c>
    </row>
    <row r="108" spans="1:7" x14ac:dyDescent="0.3">
      <c r="A108">
        <v>54</v>
      </c>
      <c r="B108" t="s">
        <v>8</v>
      </c>
      <c r="C108">
        <v>-0.3422</v>
      </c>
      <c r="D108">
        <v>-0.2359</v>
      </c>
      <c r="E108">
        <v>-4.8800000000000003E-2</v>
      </c>
      <c r="F108">
        <v>0.80410000000000004</v>
      </c>
      <c r="G108">
        <v>0.15820000000000001</v>
      </c>
    </row>
    <row r="109" spans="1:7" x14ac:dyDescent="0.3">
      <c r="A109">
        <v>54</v>
      </c>
      <c r="B109" t="s">
        <v>9</v>
      </c>
      <c r="C109">
        <v>0</v>
      </c>
      <c r="D109">
        <v>-0.2359</v>
      </c>
      <c r="E109">
        <v>-4.8800000000000003E-2</v>
      </c>
      <c r="F109">
        <v>0.80410000000000004</v>
      </c>
      <c r="G109">
        <v>0.15820000000000001</v>
      </c>
    </row>
    <row r="110" spans="1:7" x14ac:dyDescent="0.3">
      <c r="A110">
        <v>55</v>
      </c>
      <c r="B110" t="s">
        <v>8</v>
      </c>
      <c r="C110">
        <v>-0.3422</v>
      </c>
      <c r="D110">
        <v>-0.2359</v>
      </c>
      <c r="E110">
        <v>-4.8800000000000003E-2</v>
      </c>
      <c r="F110">
        <v>0.80410000000000004</v>
      </c>
      <c r="G110">
        <v>0.15820000000000001</v>
      </c>
    </row>
    <row r="111" spans="1:7" x14ac:dyDescent="0.3">
      <c r="A111">
        <v>55</v>
      </c>
      <c r="B111" t="s">
        <v>9</v>
      </c>
      <c r="C111">
        <v>0</v>
      </c>
      <c r="D111">
        <v>-0.2359</v>
      </c>
      <c r="E111">
        <v>-4.8800000000000003E-2</v>
      </c>
      <c r="F111">
        <v>0.80410000000000004</v>
      </c>
      <c r="G111">
        <v>0.15820000000000001</v>
      </c>
    </row>
    <row r="112" spans="1:7" x14ac:dyDescent="0.3">
      <c r="A112">
        <v>56</v>
      </c>
      <c r="B112" t="s">
        <v>8</v>
      </c>
      <c r="C112">
        <v>-0.3422</v>
      </c>
      <c r="D112">
        <v>-0.2359</v>
      </c>
      <c r="E112">
        <v>-4.8800000000000003E-2</v>
      </c>
      <c r="F112">
        <v>0.80410000000000004</v>
      </c>
      <c r="G112">
        <v>0.15820000000000001</v>
      </c>
    </row>
    <row r="113" spans="1:7" x14ac:dyDescent="0.3">
      <c r="A113">
        <v>56</v>
      </c>
      <c r="B113" t="s">
        <v>9</v>
      </c>
      <c r="C113">
        <v>0</v>
      </c>
      <c r="D113">
        <v>-0.2359</v>
      </c>
      <c r="E113">
        <v>-4.8800000000000003E-2</v>
      </c>
      <c r="F113">
        <v>0.80410000000000004</v>
      </c>
      <c r="G113">
        <v>0.15820000000000001</v>
      </c>
    </row>
    <row r="114" spans="1:7" x14ac:dyDescent="0.3">
      <c r="A114">
        <v>57</v>
      </c>
      <c r="B114" t="s">
        <v>8</v>
      </c>
      <c r="C114">
        <v>-0.3422</v>
      </c>
      <c r="D114">
        <v>-0.2359</v>
      </c>
      <c r="E114">
        <v>-4.8800000000000003E-2</v>
      </c>
      <c r="F114">
        <v>0.80410000000000004</v>
      </c>
      <c r="G114">
        <v>0.15820000000000001</v>
      </c>
    </row>
    <row r="115" spans="1:7" x14ac:dyDescent="0.3">
      <c r="A115">
        <v>57</v>
      </c>
      <c r="B115" t="s">
        <v>9</v>
      </c>
      <c r="C115">
        <v>0</v>
      </c>
      <c r="D115">
        <v>-0.2359</v>
      </c>
      <c r="E115">
        <v>-4.8800000000000003E-2</v>
      </c>
      <c r="F115">
        <v>0.80410000000000004</v>
      </c>
      <c r="G115">
        <v>0.15820000000000001</v>
      </c>
    </row>
    <row r="116" spans="1:7" x14ac:dyDescent="0.3">
      <c r="A116">
        <v>58</v>
      </c>
      <c r="B116" t="s">
        <v>8</v>
      </c>
      <c r="C116">
        <v>-0.3422</v>
      </c>
      <c r="D116">
        <v>-0.2359</v>
      </c>
      <c r="E116">
        <v>-4.8800000000000003E-2</v>
      </c>
      <c r="F116">
        <v>0.80410000000000004</v>
      </c>
      <c r="G116">
        <v>0.15820000000000001</v>
      </c>
    </row>
    <row r="117" spans="1:7" x14ac:dyDescent="0.3">
      <c r="A117">
        <v>58</v>
      </c>
      <c r="B117" t="s">
        <v>9</v>
      </c>
      <c r="C117">
        <v>0</v>
      </c>
      <c r="D117">
        <v>-0.2359</v>
      </c>
      <c r="E117">
        <v>-4.8800000000000003E-2</v>
      </c>
      <c r="F117">
        <v>0.80410000000000004</v>
      </c>
      <c r="G117">
        <v>0.15820000000000001</v>
      </c>
    </row>
    <row r="118" spans="1:7" x14ac:dyDescent="0.3">
      <c r="A118">
        <v>59</v>
      </c>
      <c r="B118" t="s">
        <v>8</v>
      </c>
      <c r="C118">
        <v>-0.3422</v>
      </c>
      <c r="D118">
        <v>-0.2359</v>
      </c>
      <c r="E118">
        <v>-4.8800000000000003E-2</v>
      </c>
      <c r="F118">
        <v>0.80410000000000004</v>
      </c>
      <c r="G118">
        <v>0.15820000000000001</v>
      </c>
    </row>
    <row r="119" spans="1:7" x14ac:dyDescent="0.3">
      <c r="A119">
        <v>59</v>
      </c>
      <c r="B119" t="s">
        <v>9</v>
      </c>
      <c r="C119">
        <v>0</v>
      </c>
      <c r="D119">
        <v>-0.2359</v>
      </c>
      <c r="E119">
        <v>-4.8800000000000003E-2</v>
      </c>
      <c r="F119">
        <v>0.80410000000000004</v>
      </c>
      <c r="G119">
        <v>0.15820000000000001</v>
      </c>
    </row>
    <row r="120" spans="1:7" x14ac:dyDescent="0.3">
      <c r="A120">
        <v>60</v>
      </c>
      <c r="B120" t="s">
        <v>8</v>
      </c>
      <c r="C120">
        <v>-0.3422</v>
      </c>
      <c r="D120">
        <v>-0.2359</v>
      </c>
      <c r="E120">
        <v>-4.8800000000000003E-2</v>
      </c>
      <c r="F120">
        <v>0.80410000000000004</v>
      </c>
      <c r="G120">
        <v>0.15820000000000001</v>
      </c>
    </row>
    <row r="121" spans="1:7" x14ac:dyDescent="0.3">
      <c r="A121">
        <v>60</v>
      </c>
      <c r="B121" t="s">
        <v>9</v>
      </c>
      <c r="C121">
        <v>0</v>
      </c>
      <c r="D121">
        <v>-0.2359</v>
      </c>
      <c r="E121">
        <v>-4.8800000000000003E-2</v>
      </c>
      <c r="F121">
        <v>0.80410000000000004</v>
      </c>
      <c r="G121">
        <v>0.15820000000000001</v>
      </c>
    </row>
    <row r="122" spans="1:7" x14ac:dyDescent="0.3">
      <c r="A122">
        <v>61</v>
      </c>
      <c r="B122" t="s">
        <v>8</v>
      </c>
      <c r="C122">
        <v>-0.3422</v>
      </c>
      <c r="D122">
        <v>-0.2359</v>
      </c>
      <c r="E122">
        <v>-4.8800000000000003E-2</v>
      </c>
      <c r="F122">
        <v>0.80410000000000004</v>
      </c>
      <c r="G122">
        <v>0.15820000000000001</v>
      </c>
    </row>
    <row r="123" spans="1:7" x14ac:dyDescent="0.3">
      <c r="A123">
        <v>61</v>
      </c>
      <c r="B123" t="s">
        <v>9</v>
      </c>
      <c r="C123">
        <v>0</v>
      </c>
      <c r="D123">
        <v>-0.2359</v>
      </c>
      <c r="E123">
        <v>-4.8800000000000003E-2</v>
      </c>
      <c r="F123">
        <v>0.80410000000000004</v>
      </c>
      <c r="G123">
        <v>0.15820000000000001</v>
      </c>
    </row>
    <row r="124" spans="1:7" x14ac:dyDescent="0.3">
      <c r="A124">
        <v>62</v>
      </c>
      <c r="B124" t="s">
        <v>8</v>
      </c>
      <c r="C124">
        <v>-0.3422</v>
      </c>
      <c r="D124">
        <v>-0.2359</v>
      </c>
      <c r="E124">
        <v>-4.8800000000000003E-2</v>
      </c>
      <c r="F124">
        <v>0.80410000000000004</v>
      </c>
      <c r="G124">
        <v>0.15820000000000001</v>
      </c>
    </row>
    <row r="125" spans="1:7" x14ac:dyDescent="0.3">
      <c r="A125">
        <v>62</v>
      </c>
      <c r="B125" t="s">
        <v>9</v>
      </c>
      <c r="C125">
        <v>0</v>
      </c>
      <c r="D125">
        <v>-0.2359</v>
      </c>
      <c r="E125">
        <v>-4.8800000000000003E-2</v>
      </c>
      <c r="F125">
        <v>0.80410000000000004</v>
      </c>
      <c r="G125">
        <v>0.15820000000000001</v>
      </c>
    </row>
    <row r="126" spans="1:7" x14ac:dyDescent="0.3">
      <c r="A126">
        <v>63</v>
      </c>
      <c r="B126" t="s">
        <v>8</v>
      </c>
      <c r="C126">
        <v>-0.3422</v>
      </c>
      <c r="D126">
        <v>-0.2359</v>
      </c>
      <c r="E126">
        <v>-4.8800000000000003E-2</v>
      </c>
      <c r="F126">
        <v>0.80410000000000004</v>
      </c>
      <c r="G126">
        <v>0.15820000000000001</v>
      </c>
    </row>
    <row r="127" spans="1:7" x14ac:dyDescent="0.3">
      <c r="A127">
        <v>63</v>
      </c>
      <c r="B127" t="s">
        <v>9</v>
      </c>
      <c r="C127">
        <v>0</v>
      </c>
      <c r="D127">
        <v>-0.2359</v>
      </c>
      <c r="E127">
        <v>-4.8800000000000003E-2</v>
      </c>
      <c r="F127">
        <v>0.80410000000000004</v>
      </c>
      <c r="G127">
        <v>0.15820000000000001</v>
      </c>
    </row>
    <row r="128" spans="1:7" x14ac:dyDescent="0.3">
      <c r="A128">
        <v>64</v>
      </c>
      <c r="B128" t="s">
        <v>8</v>
      </c>
      <c r="C128">
        <v>-0.3422</v>
      </c>
      <c r="D128">
        <v>-0.2359</v>
      </c>
      <c r="E128">
        <v>-4.8800000000000003E-2</v>
      </c>
      <c r="F128">
        <v>0.80410000000000004</v>
      </c>
      <c r="G128">
        <v>0.15820000000000001</v>
      </c>
    </row>
    <row r="129" spans="1:7" x14ac:dyDescent="0.3">
      <c r="A129">
        <v>64</v>
      </c>
      <c r="B129" t="s">
        <v>9</v>
      </c>
      <c r="C129">
        <v>0</v>
      </c>
      <c r="D129">
        <v>-0.2359</v>
      </c>
      <c r="E129">
        <v>-4.8800000000000003E-2</v>
      </c>
      <c r="F129">
        <v>0.80410000000000004</v>
      </c>
      <c r="G129">
        <v>0.15820000000000001</v>
      </c>
    </row>
    <row r="130" spans="1:7" x14ac:dyDescent="0.3">
      <c r="A130">
        <v>65</v>
      </c>
      <c r="B130" t="s">
        <v>8</v>
      </c>
      <c r="C130">
        <v>-0.3422</v>
      </c>
      <c r="D130">
        <v>-0.2359</v>
      </c>
      <c r="E130">
        <v>-4.8800000000000003E-2</v>
      </c>
      <c r="F130">
        <v>0.80410000000000004</v>
      </c>
      <c r="G130">
        <v>0.15820000000000001</v>
      </c>
    </row>
    <row r="131" spans="1:7" x14ac:dyDescent="0.3">
      <c r="A131">
        <v>65</v>
      </c>
      <c r="B131" t="s">
        <v>9</v>
      </c>
      <c r="C131">
        <v>0</v>
      </c>
      <c r="D131">
        <v>-0.2359</v>
      </c>
      <c r="E131">
        <v>-4.8800000000000003E-2</v>
      </c>
      <c r="F131">
        <v>0.80410000000000004</v>
      </c>
      <c r="G131">
        <v>0.15820000000000001</v>
      </c>
    </row>
    <row r="132" spans="1:7" x14ac:dyDescent="0.3">
      <c r="A132">
        <v>66</v>
      </c>
      <c r="B132" t="s">
        <v>8</v>
      </c>
      <c r="C132">
        <v>-0.3422</v>
      </c>
      <c r="D132">
        <v>-0.2359</v>
      </c>
      <c r="E132">
        <v>-4.8800000000000003E-2</v>
      </c>
      <c r="F132">
        <v>0.80410000000000004</v>
      </c>
      <c r="G132">
        <v>0.15820000000000001</v>
      </c>
    </row>
    <row r="133" spans="1:7" x14ac:dyDescent="0.3">
      <c r="A133">
        <v>66</v>
      </c>
      <c r="B133" t="s">
        <v>9</v>
      </c>
      <c r="C133">
        <v>0</v>
      </c>
      <c r="D133">
        <v>-0.2359</v>
      </c>
      <c r="E133">
        <v>-4.8800000000000003E-2</v>
      </c>
      <c r="F133">
        <v>0.80410000000000004</v>
      </c>
      <c r="G133">
        <v>0.15820000000000001</v>
      </c>
    </row>
    <row r="134" spans="1:7" x14ac:dyDescent="0.3">
      <c r="A134">
        <v>67</v>
      </c>
      <c r="B134" t="s">
        <v>8</v>
      </c>
      <c r="C134">
        <v>-0.3422</v>
      </c>
      <c r="D134">
        <v>-0.2359</v>
      </c>
      <c r="E134">
        <v>-4.8800000000000003E-2</v>
      </c>
      <c r="F134">
        <v>0.80410000000000004</v>
      </c>
      <c r="G134">
        <v>0.15820000000000001</v>
      </c>
    </row>
    <row r="135" spans="1:7" x14ac:dyDescent="0.3">
      <c r="A135">
        <v>67</v>
      </c>
      <c r="B135" t="s">
        <v>9</v>
      </c>
      <c r="C135">
        <v>0</v>
      </c>
      <c r="D135">
        <v>-0.2359</v>
      </c>
      <c r="E135">
        <v>-4.8800000000000003E-2</v>
      </c>
      <c r="F135">
        <v>0.80410000000000004</v>
      </c>
      <c r="G135">
        <v>0.15820000000000001</v>
      </c>
    </row>
    <row r="136" spans="1:7" x14ac:dyDescent="0.3">
      <c r="A136">
        <v>68</v>
      </c>
      <c r="B136" t="s">
        <v>8</v>
      </c>
      <c r="C136">
        <v>-0.3422</v>
      </c>
      <c r="D136">
        <v>-0.2359</v>
      </c>
      <c r="E136">
        <v>-4.8800000000000003E-2</v>
      </c>
      <c r="F136">
        <v>0.80410000000000004</v>
      </c>
      <c r="G136">
        <v>0.15820000000000001</v>
      </c>
    </row>
    <row r="137" spans="1:7" x14ac:dyDescent="0.3">
      <c r="A137">
        <v>68</v>
      </c>
      <c r="B137" t="s">
        <v>9</v>
      </c>
      <c r="C137">
        <v>0</v>
      </c>
      <c r="D137">
        <v>-0.2359</v>
      </c>
      <c r="E137">
        <v>-4.8800000000000003E-2</v>
      </c>
      <c r="F137">
        <v>0.80410000000000004</v>
      </c>
      <c r="G137">
        <v>0.15820000000000001</v>
      </c>
    </row>
    <row r="138" spans="1:7" x14ac:dyDescent="0.3">
      <c r="A138">
        <v>69</v>
      </c>
      <c r="B138" t="s">
        <v>8</v>
      </c>
      <c r="C138">
        <v>-0.3422</v>
      </c>
      <c r="D138">
        <v>-0.2359</v>
      </c>
      <c r="E138">
        <v>-4.8800000000000003E-2</v>
      </c>
      <c r="F138">
        <v>0.80410000000000004</v>
      </c>
      <c r="G138">
        <v>0.15820000000000001</v>
      </c>
    </row>
    <row r="139" spans="1:7" x14ac:dyDescent="0.3">
      <c r="A139">
        <v>69</v>
      </c>
      <c r="B139" t="s">
        <v>9</v>
      </c>
      <c r="C139">
        <v>0</v>
      </c>
      <c r="D139">
        <v>-0.2359</v>
      </c>
      <c r="E139">
        <v>-4.8800000000000003E-2</v>
      </c>
      <c r="F139">
        <v>0.80410000000000004</v>
      </c>
      <c r="G139">
        <v>0.15820000000000001</v>
      </c>
    </row>
    <row r="140" spans="1:7" x14ac:dyDescent="0.3">
      <c r="A140">
        <v>70</v>
      </c>
      <c r="B140" t="s">
        <v>8</v>
      </c>
      <c r="C140">
        <v>-0.3422</v>
      </c>
      <c r="D140">
        <v>-0.2359</v>
      </c>
      <c r="E140">
        <v>-4.8800000000000003E-2</v>
      </c>
      <c r="F140">
        <v>0.80410000000000004</v>
      </c>
      <c r="G140">
        <v>0.15820000000000001</v>
      </c>
    </row>
    <row r="141" spans="1:7" x14ac:dyDescent="0.3">
      <c r="A141">
        <v>70</v>
      </c>
      <c r="B141" t="s">
        <v>9</v>
      </c>
      <c r="C141">
        <v>0</v>
      </c>
      <c r="D141">
        <v>-0.2359</v>
      </c>
      <c r="E141">
        <v>-4.8800000000000003E-2</v>
      </c>
      <c r="F141">
        <v>0.80410000000000004</v>
      </c>
      <c r="G141">
        <v>0.15820000000000001</v>
      </c>
    </row>
    <row r="142" spans="1:7" x14ac:dyDescent="0.3">
      <c r="A142">
        <v>71</v>
      </c>
      <c r="B142" t="s">
        <v>8</v>
      </c>
      <c r="C142">
        <v>-0.3422</v>
      </c>
      <c r="D142">
        <v>-0.2359</v>
      </c>
      <c r="E142">
        <v>-4.8800000000000003E-2</v>
      </c>
      <c r="F142">
        <v>0.80410000000000004</v>
      </c>
      <c r="G142">
        <v>0.15820000000000001</v>
      </c>
    </row>
    <row r="143" spans="1:7" x14ac:dyDescent="0.3">
      <c r="A143">
        <v>71</v>
      </c>
      <c r="B143" t="s">
        <v>9</v>
      </c>
      <c r="C143">
        <v>0</v>
      </c>
      <c r="D143">
        <v>-0.2359</v>
      </c>
      <c r="E143">
        <v>-4.8800000000000003E-2</v>
      </c>
      <c r="F143">
        <v>0.80410000000000004</v>
      </c>
      <c r="G143">
        <v>0.15820000000000001</v>
      </c>
    </row>
    <row r="144" spans="1:7" x14ac:dyDescent="0.3">
      <c r="A144">
        <v>72</v>
      </c>
      <c r="B144" t="s">
        <v>8</v>
      </c>
      <c r="C144">
        <v>-0.3422</v>
      </c>
      <c r="D144">
        <v>-0.2359</v>
      </c>
      <c r="E144">
        <v>-4.8800000000000003E-2</v>
      </c>
      <c r="F144">
        <v>0.80410000000000004</v>
      </c>
      <c r="G144">
        <v>0.15820000000000001</v>
      </c>
    </row>
    <row r="145" spans="1:7" x14ac:dyDescent="0.3">
      <c r="A145">
        <v>72</v>
      </c>
      <c r="B145" t="s">
        <v>9</v>
      </c>
      <c r="C145">
        <v>0</v>
      </c>
      <c r="D145">
        <v>-0.2359</v>
      </c>
      <c r="E145">
        <v>-4.8800000000000003E-2</v>
      </c>
      <c r="F145">
        <v>0.80410000000000004</v>
      </c>
      <c r="G145">
        <v>0.15820000000000001</v>
      </c>
    </row>
    <row r="146" spans="1:7" x14ac:dyDescent="0.3">
      <c r="A146">
        <v>73</v>
      </c>
      <c r="B146" t="s">
        <v>8</v>
      </c>
      <c r="C146">
        <v>-0.3422</v>
      </c>
      <c r="D146">
        <v>-0.2359</v>
      </c>
      <c r="E146">
        <v>-4.8800000000000003E-2</v>
      </c>
      <c r="F146">
        <v>0.80410000000000004</v>
      </c>
      <c r="G146">
        <v>0.15820000000000001</v>
      </c>
    </row>
    <row r="147" spans="1:7" x14ac:dyDescent="0.3">
      <c r="A147">
        <v>73</v>
      </c>
      <c r="B147" t="s">
        <v>9</v>
      </c>
      <c r="C147">
        <v>0</v>
      </c>
      <c r="D147">
        <v>-0.2359</v>
      </c>
      <c r="E147">
        <v>-4.8800000000000003E-2</v>
      </c>
      <c r="F147">
        <v>0.80410000000000004</v>
      </c>
      <c r="G147">
        <v>0.15820000000000001</v>
      </c>
    </row>
    <row r="148" spans="1:7" x14ac:dyDescent="0.3">
      <c r="A148">
        <v>74</v>
      </c>
      <c r="B148" t="s">
        <v>8</v>
      </c>
      <c r="C148">
        <v>-0.3422</v>
      </c>
      <c r="D148">
        <v>-0.2359</v>
      </c>
      <c r="E148">
        <v>-4.8800000000000003E-2</v>
      </c>
      <c r="F148">
        <v>0.80410000000000004</v>
      </c>
      <c r="G148">
        <v>0.15820000000000001</v>
      </c>
    </row>
    <row r="149" spans="1:7" x14ac:dyDescent="0.3">
      <c r="A149">
        <v>74</v>
      </c>
      <c r="B149" t="s">
        <v>9</v>
      </c>
      <c r="C149">
        <v>0</v>
      </c>
      <c r="D149">
        <v>-0.2359</v>
      </c>
      <c r="E149">
        <v>-4.8800000000000003E-2</v>
      </c>
      <c r="F149">
        <v>0.80410000000000004</v>
      </c>
      <c r="G149">
        <v>0.15820000000000001</v>
      </c>
    </row>
    <row r="150" spans="1:7" x14ac:dyDescent="0.3">
      <c r="A150">
        <v>75</v>
      </c>
      <c r="B150" t="s">
        <v>8</v>
      </c>
      <c r="C150">
        <v>-0.3422</v>
      </c>
      <c r="D150">
        <v>-0.2359</v>
      </c>
      <c r="E150">
        <v>-4.8800000000000003E-2</v>
      </c>
      <c r="F150">
        <v>0.80410000000000004</v>
      </c>
      <c r="G150">
        <v>0.15820000000000001</v>
      </c>
    </row>
    <row r="151" spans="1:7" x14ac:dyDescent="0.3">
      <c r="A151">
        <v>75</v>
      </c>
      <c r="B151" t="s">
        <v>9</v>
      </c>
      <c r="C151">
        <v>0</v>
      </c>
      <c r="D151">
        <v>-0.2359</v>
      </c>
      <c r="E151">
        <v>-4.8800000000000003E-2</v>
      </c>
      <c r="F151">
        <v>0.80410000000000004</v>
      </c>
      <c r="G151">
        <v>0.15820000000000001</v>
      </c>
    </row>
    <row r="152" spans="1:7" x14ac:dyDescent="0.3">
      <c r="A152">
        <v>76</v>
      </c>
      <c r="B152" t="s">
        <v>8</v>
      </c>
      <c r="C152">
        <v>-0.3422</v>
      </c>
      <c r="D152">
        <v>-0.2359</v>
      </c>
      <c r="E152">
        <v>-4.8800000000000003E-2</v>
      </c>
      <c r="F152">
        <v>0.80410000000000004</v>
      </c>
      <c r="G152">
        <v>0.15820000000000001</v>
      </c>
    </row>
    <row r="153" spans="1:7" x14ac:dyDescent="0.3">
      <c r="A153">
        <v>76</v>
      </c>
      <c r="B153" t="s">
        <v>9</v>
      </c>
      <c r="C153">
        <v>0</v>
      </c>
      <c r="D153">
        <v>-0.2359</v>
      </c>
      <c r="E153">
        <v>-4.8800000000000003E-2</v>
      </c>
      <c r="F153">
        <v>0.80410000000000004</v>
      </c>
      <c r="G153">
        <v>0.15820000000000001</v>
      </c>
    </row>
    <row r="154" spans="1:7" x14ac:dyDescent="0.3">
      <c r="A154">
        <v>77</v>
      </c>
      <c r="B154" t="s">
        <v>8</v>
      </c>
      <c r="C154">
        <v>-0.3422</v>
      </c>
      <c r="D154">
        <v>-0.2359</v>
      </c>
      <c r="E154">
        <v>-4.8800000000000003E-2</v>
      </c>
      <c r="F154">
        <v>0.80410000000000004</v>
      </c>
      <c r="G154">
        <v>0.15820000000000001</v>
      </c>
    </row>
    <row r="155" spans="1:7" x14ac:dyDescent="0.3">
      <c r="A155">
        <v>77</v>
      </c>
      <c r="B155" t="s">
        <v>9</v>
      </c>
      <c r="C155">
        <v>0</v>
      </c>
      <c r="D155">
        <v>-0.2359</v>
      </c>
      <c r="E155">
        <v>-4.8800000000000003E-2</v>
      </c>
      <c r="F155">
        <v>0.80410000000000004</v>
      </c>
      <c r="G155">
        <v>0.15820000000000001</v>
      </c>
    </row>
    <row r="156" spans="1:7" x14ac:dyDescent="0.3">
      <c r="A156">
        <v>78</v>
      </c>
      <c r="B156" t="s">
        <v>8</v>
      </c>
      <c r="C156">
        <v>-0.3422</v>
      </c>
      <c r="D156">
        <v>-0.2359</v>
      </c>
      <c r="E156">
        <v>-4.8800000000000003E-2</v>
      </c>
      <c r="F156">
        <v>0.80410000000000004</v>
      </c>
      <c r="G156">
        <v>0.15820000000000001</v>
      </c>
    </row>
    <row r="157" spans="1:7" x14ac:dyDescent="0.3">
      <c r="A157">
        <v>78</v>
      </c>
      <c r="B157" t="s">
        <v>9</v>
      </c>
      <c r="C157">
        <v>0</v>
      </c>
      <c r="D157">
        <v>-0.2359</v>
      </c>
      <c r="E157">
        <v>-4.8800000000000003E-2</v>
      </c>
      <c r="F157">
        <v>0.80410000000000004</v>
      </c>
      <c r="G157">
        <v>0.15820000000000001</v>
      </c>
    </row>
    <row r="158" spans="1:7" x14ac:dyDescent="0.3">
      <c r="A158">
        <v>79</v>
      </c>
      <c r="B158" t="s">
        <v>8</v>
      </c>
      <c r="C158">
        <v>-0.3422</v>
      </c>
      <c r="D158">
        <v>-0.2359</v>
      </c>
      <c r="E158">
        <v>-4.8800000000000003E-2</v>
      </c>
      <c r="F158">
        <v>0.80410000000000004</v>
      </c>
      <c r="G158">
        <v>0.15820000000000001</v>
      </c>
    </row>
    <row r="159" spans="1:7" x14ac:dyDescent="0.3">
      <c r="A159">
        <v>79</v>
      </c>
      <c r="B159" t="s">
        <v>9</v>
      </c>
      <c r="C159">
        <v>0</v>
      </c>
      <c r="D159">
        <v>-0.2359</v>
      </c>
      <c r="E159">
        <v>-4.8800000000000003E-2</v>
      </c>
      <c r="F159">
        <v>0.80410000000000004</v>
      </c>
      <c r="G159">
        <v>0.15820000000000001</v>
      </c>
    </row>
    <row r="160" spans="1:7" x14ac:dyDescent="0.3">
      <c r="A160">
        <v>80</v>
      </c>
      <c r="B160" t="s">
        <v>8</v>
      </c>
      <c r="C160">
        <v>-0.3422</v>
      </c>
      <c r="D160">
        <v>-0.2359</v>
      </c>
      <c r="E160">
        <v>-4.8800000000000003E-2</v>
      </c>
      <c r="F160">
        <v>0.80410000000000004</v>
      </c>
      <c r="G160">
        <v>0.15820000000000001</v>
      </c>
    </row>
    <row r="161" spans="1:7" x14ac:dyDescent="0.3">
      <c r="A161">
        <v>80</v>
      </c>
      <c r="B161" t="s">
        <v>9</v>
      </c>
      <c r="C161">
        <v>0</v>
      </c>
      <c r="D161">
        <v>-0.2359</v>
      </c>
      <c r="E161">
        <v>-4.8800000000000003E-2</v>
      </c>
      <c r="F161">
        <v>0.80410000000000004</v>
      </c>
      <c r="G161">
        <v>0.15820000000000001</v>
      </c>
    </row>
    <row r="162" spans="1:7" x14ac:dyDescent="0.3">
      <c r="A162">
        <v>81</v>
      </c>
      <c r="B162" t="s">
        <v>8</v>
      </c>
      <c r="C162">
        <v>-0.3422</v>
      </c>
      <c r="D162">
        <v>-0.2359</v>
      </c>
      <c r="E162">
        <v>-4.8800000000000003E-2</v>
      </c>
      <c r="F162">
        <v>0.80410000000000004</v>
      </c>
      <c r="G162">
        <v>0.15820000000000001</v>
      </c>
    </row>
    <row r="163" spans="1:7" x14ac:dyDescent="0.3">
      <c r="A163">
        <v>81</v>
      </c>
      <c r="B163" t="s">
        <v>9</v>
      </c>
      <c r="C163">
        <v>0</v>
      </c>
      <c r="D163">
        <v>-0.2359</v>
      </c>
      <c r="E163">
        <v>-4.8800000000000003E-2</v>
      </c>
      <c r="F163">
        <v>0.80410000000000004</v>
      </c>
      <c r="G163">
        <v>0.15820000000000001</v>
      </c>
    </row>
    <row r="164" spans="1:7" x14ac:dyDescent="0.3">
      <c r="A164">
        <v>82</v>
      </c>
      <c r="B164" t="s">
        <v>8</v>
      </c>
      <c r="C164">
        <v>-0.3422</v>
      </c>
      <c r="D164">
        <v>-0.2359</v>
      </c>
      <c r="E164">
        <v>-4.8800000000000003E-2</v>
      </c>
      <c r="F164">
        <v>0.80410000000000004</v>
      </c>
      <c r="G164">
        <v>0.15820000000000001</v>
      </c>
    </row>
    <row r="165" spans="1:7" x14ac:dyDescent="0.3">
      <c r="A165">
        <v>82</v>
      </c>
      <c r="B165" t="s">
        <v>9</v>
      </c>
      <c r="C165">
        <v>0</v>
      </c>
      <c r="D165">
        <v>-0.2359</v>
      </c>
      <c r="E165">
        <v>-4.8800000000000003E-2</v>
      </c>
      <c r="F165">
        <v>0.80410000000000004</v>
      </c>
      <c r="G165">
        <v>0.15820000000000001</v>
      </c>
    </row>
    <row r="166" spans="1:7" x14ac:dyDescent="0.3">
      <c r="A166">
        <v>83</v>
      </c>
      <c r="B166" t="s">
        <v>8</v>
      </c>
      <c r="C166">
        <v>-0.3422</v>
      </c>
      <c r="D166">
        <v>-0.2359</v>
      </c>
      <c r="E166">
        <v>-4.8800000000000003E-2</v>
      </c>
      <c r="F166">
        <v>0.80410000000000004</v>
      </c>
      <c r="G166">
        <v>0.15820000000000001</v>
      </c>
    </row>
    <row r="167" spans="1:7" x14ac:dyDescent="0.3">
      <c r="A167">
        <v>83</v>
      </c>
      <c r="B167" t="s">
        <v>9</v>
      </c>
      <c r="C167">
        <v>0</v>
      </c>
      <c r="D167">
        <v>-0.2359</v>
      </c>
      <c r="E167">
        <v>-4.8800000000000003E-2</v>
      </c>
      <c r="F167">
        <v>0.80410000000000004</v>
      </c>
      <c r="G167">
        <v>0.15820000000000001</v>
      </c>
    </row>
    <row r="168" spans="1:7" x14ac:dyDescent="0.3">
      <c r="A168">
        <v>84</v>
      </c>
      <c r="B168" t="s">
        <v>8</v>
      </c>
      <c r="C168">
        <v>-0.3422</v>
      </c>
      <c r="D168">
        <v>-0.2359</v>
      </c>
      <c r="E168">
        <v>-4.8800000000000003E-2</v>
      </c>
      <c r="F168">
        <v>0.80410000000000004</v>
      </c>
      <c r="G168">
        <v>0.15820000000000001</v>
      </c>
    </row>
    <row r="169" spans="1:7" x14ac:dyDescent="0.3">
      <c r="A169">
        <v>84</v>
      </c>
      <c r="B169" t="s">
        <v>9</v>
      </c>
      <c r="C169">
        <v>0</v>
      </c>
      <c r="D169">
        <v>-0.2359</v>
      </c>
      <c r="E169">
        <v>-4.8800000000000003E-2</v>
      </c>
      <c r="F169">
        <v>0.80410000000000004</v>
      </c>
      <c r="G169">
        <v>0.15820000000000001</v>
      </c>
    </row>
    <row r="170" spans="1:7" x14ac:dyDescent="0.3">
      <c r="A170">
        <v>85</v>
      </c>
      <c r="B170" t="s">
        <v>8</v>
      </c>
      <c r="C170">
        <v>-0.3422</v>
      </c>
      <c r="D170">
        <v>-0.2359</v>
      </c>
      <c r="E170">
        <v>-4.8800000000000003E-2</v>
      </c>
      <c r="F170">
        <v>0.80410000000000004</v>
      </c>
      <c r="G170">
        <v>0.15820000000000001</v>
      </c>
    </row>
    <row r="171" spans="1:7" x14ac:dyDescent="0.3">
      <c r="A171">
        <v>85</v>
      </c>
      <c r="B171" t="s">
        <v>9</v>
      </c>
      <c r="C171">
        <v>0</v>
      </c>
      <c r="D171">
        <v>-0.2359</v>
      </c>
      <c r="E171">
        <v>-4.8800000000000003E-2</v>
      </c>
      <c r="F171">
        <v>0.80410000000000004</v>
      </c>
      <c r="G171">
        <v>0.15820000000000001</v>
      </c>
    </row>
    <row r="172" spans="1:7" x14ac:dyDescent="0.3">
      <c r="A172">
        <v>86</v>
      </c>
      <c r="B172" t="s">
        <v>8</v>
      </c>
      <c r="C172">
        <v>-0.3422</v>
      </c>
      <c r="D172">
        <v>-0.2359</v>
      </c>
      <c r="E172">
        <v>-4.8800000000000003E-2</v>
      </c>
      <c r="F172">
        <v>0.80410000000000004</v>
      </c>
      <c r="G172">
        <v>0.15820000000000001</v>
      </c>
    </row>
    <row r="173" spans="1:7" x14ac:dyDescent="0.3">
      <c r="A173">
        <v>86</v>
      </c>
      <c r="B173" t="s">
        <v>9</v>
      </c>
      <c r="C173">
        <v>0</v>
      </c>
      <c r="D173">
        <v>-0.2359</v>
      </c>
      <c r="E173">
        <v>-4.8800000000000003E-2</v>
      </c>
      <c r="F173">
        <v>0.80410000000000004</v>
      </c>
      <c r="G173">
        <v>0.15820000000000001</v>
      </c>
    </row>
    <row r="174" spans="1:7" x14ac:dyDescent="0.3">
      <c r="A174">
        <v>87</v>
      </c>
      <c r="B174" t="s">
        <v>8</v>
      </c>
      <c r="C174">
        <v>-0.3422</v>
      </c>
      <c r="D174">
        <v>-0.2359</v>
      </c>
      <c r="E174">
        <v>-4.8800000000000003E-2</v>
      </c>
      <c r="F174">
        <v>0.80410000000000004</v>
      </c>
      <c r="G174">
        <v>0.15820000000000001</v>
      </c>
    </row>
    <row r="175" spans="1:7" x14ac:dyDescent="0.3">
      <c r="A175">
        <v>87</v>
      </c>
      <c r="B175" t="s">
        <v>9</v>
      </c>
      <c r="C175">
        <v>0</v>
      </c>
      <c r="D175">
        <v>-0.2359</v>
      </c>
      <c r="E175">
        <v>-4.8800000000000003E-2</v>
      </c>
      <c r="F175">
        <v>0.80410000000000004</v>
      </c>
      <c r="G175">
        <v>0.15820000000000001</v>
      </c>
    </row>
    <row r="176" spans="1:7" x14ac:dyDescent="0.3">
      <c r="A176">
        <v>88</v>
      </c>
      <c r="B176" t="s">
        <v>8</v>
      </c>
      <c r="C176">
        <v>-0.3422</v>
      </c>
      <c r="D176">
        <v>-0.2359</v>
      </c>
      <c r="E176">
        <v>-4.8800000000000003E-2</v>
      </c>
      <c r="F176">
        <v>0.80410000000000004</v>
      </c>
      <c r="G176">
        <v>0.15820000000000001</v>
      </c>
    </row>
    <row r="177" spans="1:7" x14ac:dyDescent="0.3">
      <c r="A177">
        <v>88</v>
      </c>
      <c r="B177" t="s">
        <v>9</v>
      </c>
      <c r="C177">
        <v>0</v>
      </c>
      <c r="D177">
        <v>-0.2359</v>
      </c>
      <c r="E177">
        <v>-4.8800000000000003E-2</v>
      </c>
      <c r="F177">
        <v>0.80410000000000004</v>
      </c>
      <c r="G177">
        <v>0.15820000000000001</v>
      </c>
    </row>
    <row r="178" spans="1:7" x14ac:dyDescent="0.3">
      <c r="A178">
        <v>89</v>
      </c>
      <c r="B178" t="s">
        <v>8</v>
      </c>
      <c r="C178">
        <v>-0.3422</v>
      </c>
      <c r="D178">
        <v>-0.2359</v>
      </c>
      <c r="E178">
        <v>-4.8800000000000003E-2</v>
      </c>
      <c r="F178">
        <v>0.80410000000000004</v>
      </c>
      <c r="G178">
        <v>0.15820000000000001</v>
      </c>
    </row>
    <row r="179" spans="1:7" x14ac:dyDescent="0.3">
      <c r="A179">
        <v>89</v>
      </c>
      <c r="B179" t="s">
        <v>9</v>
      </c>
      <c r="C179">
        <v>0</v>
      </c>
      <c r="D179">
        <v>-0.2359</v>
      </c>
      <c r="E179">
        <v>-4.8800000000000003E-2</v>
      </c>
      <c r="F179">
        <v>0.80410000000000004</v>
      </c>
      <c r="G179">
        <v>0.15820000000000001</v>
      </c>
    </row>
    <row r="180" spans="1:7" x14ac:dyDescent="0.3">
      <c r="A180">
        <v>90</v>
      </c>
      <c r="B180" t="s">
        <v>8</v>
      </c>
      <c r="C180">
        <v>-0.3422</v>
      </c>
      <c r="D180">
        <v>-0.2359</v>
      </c>
      <c r="E180">
        <v>-4.8800000000000003E-2</v>
      </c>
      <c r="F180">
        <v>0.80410000000000004</v>
      </c>
      <c r="G180">
        <v>0.15820000000000001</v>
      </c>
    </row>
    <row r="181" spans="1:7" x14ac:dyDescent="0.3">
      <c r="A181">
        <v>90</v>
      </c>
      <c r="B181" t="s">
        <v>9</v>
      </c>
      <c r="C181">
        <v>0</v>
      </c>
      <c r="D181">
        <v>-0.2359</v>
      </c>
      <c r="E181">
        <v>-4.8800000000000003E-2</v>
      </c>
      <c r="F181">
        <v>0.80410000000000004</v>
      </c>
      <c r="G181">
        <v>0.15820000000000001</v>
      </c>
    </row>
    <row r="182" spans="1:7" x14ac:dyDescent="0.3">
      <c r="A182">
        <v>91</v>
      </c>
      <c r="B182" t="s">
        <v>8</v>
      </c>
      <c r="C182">
        <v>-0.3422</v>
      </c>
      <c r="D182">
        <v>-0.2359</v>
      </c>
      <c r="E182">
        <v>-4.8800000000000003E-2</v>
      </c>
      <c r="F182">
        <v>0.80410000000000004</v>
      </c>
      <c r="G182">
        <v>0.15820000000000001</v>
      </c>
    </row>
    <row r="183" spans="1:7" x14ac:dyDescent="0.3">
      <c r="A183">
        <v>91</v>
      </c>
      <c r="B183" t="s">
        <v>9</v>
      </c>
      <c r="C183">
        <v>0</v>
      </c>
      <c r="D183">
        <v>-0.2359</v>
      </c>
      <c r="E183">
        <v>-4.8800000000000003E-2</v>
      </c>
      <c r="F183">
        <v>0.80410000000000004</v>
      </c>
      <c r="G183">
        <v>0.15820000000000001</v>
      </c>
    </row>
    <row r="184" spans="1:7" x14ac:dyDescent="0.3">
      <c r="A184">
        <v>92</v>
      </c>
      <c r="B184" t="s">
        <v>8</v>
      </c>
      <c r="C184">
        <v>-0.3422</v>
      </c>
      <c r="D184">
        <v>-0.2359</v>
      </c>
      <c r="E184">
        <v>-4.8800000000000003E-2</v>
      </c>
      <c r="F184">
        <v>0.80410000000000004</v>
      </c>
      <c r="G184">
        <v>0.15820000000000001</v>
      </c>
    </row>
    <row r="185" spans="1:7" x14ac:dyDescent="0.3">
      <c r="A185">
        <v>92</v>
      </c>
      <c r="B185" t="s">
        <v>9</v>
      </c>
      <c r="C185">
        <v>0</v>
      </c>
      <c r="D185">
        <v>-0.2359</v>
      </c>
      <c r="E185">
        <v>-4.8800000000000003E-2</v>
      </c>
      <c r="F185">
        <v>0.80410000000000004</v>
      </c>
      <c r="G185">
        <v>0.15820000000000001</v>
      </c>
    </row>
    <row r="186" spans="1:7" x14ac:dyDescent="0.3">
      <c r="A186">
        <v>93</v>
      </c>
      <c r="B186" t="s">
        <v>8</v>
      </c>
      <c r="C186">
        <v>-0.3422</v>
      </c>
      <c r="D186">
        <v>-0.2359</v>
      </c>
      <c r="E186">
        <v>-4.8800000000000003E-2</v>
      </c>
      <c r="F186">
        <v>0.80410000000000004</v>
      </c>
      <c r="G186">
        <v>0.15820000000000001</v>
      </c>
    </row>
    <row r="187" spans="1:7" x14ac:dyDescent="0.3">
      <c r="A187">
        <v>93</v>
      </c>
      <c r="B187" t="s">
        <v>9</v>
      </c>
      <c r="C187">
        <v>0</v>
      </c>
      <c r="D187">
        <v>-0.2359</v>
      </c>
      <c r="E187">
        <v>-4.8800000000000003E-2</v>
      </c>
      <c r="F187">
        <v>0.80410000000000004</v>
      </c>
      <c r="G187">
        <v>0.15820000000000001</v>
      </c>
    </row>
    <row r="188" spans="1:7" x14ac:dyDescent="0.3">
      <c r="A188">
        <v>94</v>
      </c>
      <c r="B188" t="s">
        <v>8</v>
      </c>
      <c r="C188">
        <v>-0.3422</v>
      </c>
      <c r="D188">
        <v>-0.2359</v>
      </c>
      <c r="E188">
        <v>-4.8800000000000003E-2</v>
      </c>
      <c r="F188">
        <v>0.80410000000000004</v>
      </c>
      <c r="G188">
        <v>0.15820000000000001</v>
      </c>
    </row>
    <row r="189" spans="1:7" x14ac:dyDescent="0.3">
      <c r="A189">
        <v>94</v>
      </c>
      <c r="B189" t="s">
        <v>9</v>
      </c>
      <c r="C189">
        <v>0</v>
      </c>
      <c r="D189">
        <v>-0.2359</v>
      </c>
      <c r="E189">
        <v>-4.8800000000000003E-2</v>
      </c>
      <c r="F189">
        <v>0.80410000000000004</v>
      </c>
      <c r="G189">
        <v>0.15820000000000001</v>
      </c>
    </row>
    <row r="190" spans="1:7" x14ac:dyDescent="0.3">
      <c r="A190">
        <v>95</v>
      </c>
      <c r="B190" t="s">
        <v>8</v>
      </c>
      <c r="C190">
        <v>-0.3422</v>
      </c>
      <c r="D190">
        <v>-0.2359</v>
      </c>
      <c r="E190">
        <v>-4.8800000000000003E-2</v>
      </c>
      <c r="F190">
        <v>0.80410000000000004</v>
      </c>
      <c r="G190">
        <v>0.15820000000000001</v>
      </c>
    </row>
    <row r="191" spans="1:7" x14ac:dyDescent="0.3">
      <c r="A191">
        <v>95</v>
      </c>
      <c r="B191" t="s">
        <v>9</v>
      </c>
      <c r="C191">
        <v>0</v>
      </c>
      <c r="D191">
        <v>-0.2359</v>
      </c>
      <c r="E191">
        <v>-4.8800000000000003E-2</v>
      </c>
      <c r="F191">
        <v>0.80410000000000004</v>
      </c>
      <c r="G191">
        <v>0.15820000000000001</v>
      </c>
    </row>
    <row r="192" spans="1:7" x14ac:dyDescent="0.3">
      <c r="A192">
        <v>96</v>
      </c>
      <c r="B192" t="s">
        <v>8</v>
      </c>
      <c r="C192">
        <v>-0.3422</v>
      </c>
      <c r="D192">
        <v>-0.2359</v>
      </c>
      <c r="E192">
        <v>-4.8800000000000003E-2</v>
      </c>
      <c r="F192">
        <v>0.80410000000000004</v>
      </c>
      <c r="G192">
        <v>0.15820000000000001</v>
      </c>
    </row>
    <row r="193" spans="1:7" x14ac:dyDescent="0.3">
      <c r="A193">
        <v>96</v>
      </c>
      <c r="B193" t="s">
        <v>9</v>
      </c>
      <c r="C193">
        <v>0</v>
      </c>
      <c r="D193">
        <v>-0.2359</v>
      </c>
      <c r="E193">
        <v>-4.8800000000000003E-2</v>
      </c>
      <c r="F193">
        <v>0.80410000000000004</v>
      </c>
      <c r="G193">
        <v>0.15820000000000001</v>
      </c>
    </row>
    <row r="194" spans="1:7" x14ac:dyDescent="0.3">
      <c r="A194">
        <v>97</v>
      </c>
      <c r="B194" t="s">
        <v>8</v>
      </c>
      <c r="C194">
        <v>-0.3422</v>
      </c>
      <c r="D194">
        <v>-0.2359</v>
      </c>
      <c r="E194">
        <v>-4.8800000000000003E-2</v>
      </c>
      <c r="F194">
        <v>0.80410000000000004</v>
      </c>
      <c r="G194">
        <v>0.15820000000000001</v>
      </c>
    </row>
    <row r="195" spans="1:7" x14ac:dyDescent="0.3">
      <c r="A195">
        <v>97</v>
      </c>
      <c r="B195" t="s">
        <v>9</v>
      </c>
      <c r="C195">
        <v>0</v>
      </c>
      <c r="D195">
        <v>-0.2359</v>
      </c>
      <c r="E195">
        <v>-4.8800000000000003E-2</v>
      </c>
      <c r="F195">
        <v>0.80410000000000004</v>
      </c>
      <c r="G195">
        <v>0.15820000000000001</v>
      </c>
    </row>
    <row r="196" spans="1:7" x14ac:dyDescent="0.3">
      <c r="A196">
        <v>98</v>
      </c>
      <c r="B196" t="s">
        <v>8</v>
      </c>
      <c r="C196">
        <v>-0.3422</v>
      </c>
      <c r="D196">
        <v>-0.2359</v>
      </c>
      <c r="E196">
        <v>-4.8800000000000003E-2</v>
      </c>
      <c r="F196">
        <v>0.80410000000000004</v>
      </c>
      <c r="G196">
        <v>0.15820000000000001</v>
      </c>
    </row>
    <row r="197" spans="1:7" x14ac:dyDescent="0.3">
      <c r="A197">
        <v>98</v>
      </c>
      <c r="B197" t="s">
        <v>9</v>
      </c>
      <c r="C197">
        <v>0</v>
      </c>
      <c r="D197">
        <v>-0.2359</v>
      </c>
      <c r="E197">
        <v>-4.8800000000000003E-2</v>
      </c>
      <c r="F197">
        <v>0.80410000000000004</v>
      </c>
      <c r="G197">
        <v>0.15820000000000001</v>
      </c>
    </row>
    <row r="198" spans="1:7" x14ac:dyDescent="0.3">
      <c r="A198">
        <v>99</v>
      </c>
      <c r="B198" t="s">
        <v>8</v>
      </c>
      <c r="C198">
        <v>-0.3422</v>
      </c>
      <c r="D198">
        <v>-0.2359</v>
      </c>
      <c r="E198">
        <v>-4.8800000000000003E-2</v>
      </c>
      <c r="F198">
        <v>0.80410000000000004</v>
      </c>
      <c r="G198">
        <v>0.15820000000000001</v>
      </c>
    </row>
    <row r="199" spans="1:7" x14ac:dyDescent="0.3">
      <c r="A199">
        <v>99</v>
      </c>
      <c r="B199" t="s">
        <v>9</v>
      </c>
      <c r="C199">
        <v>0</v>
      </c>
      <c r="D199">
        <v>-0.2359</v>
      </c>
      <c r="E199">
        <v>-4.8800000000000003E-2</v>
      </c>
      <c r="F199">
        <v>0.80410000000000004</v>
      </c>
      <c r="G199">
        <v>0.15820000000000001</v>
      </c>
    </row>
    <row r="200" spans="1:7" x14ac:dyDescent="0.3">
      <c r="A200">
        <v>100</v>
      </c>
      <c r="B200" t="s">
        <v>8</v>
      </c>
      <c r="C200">
        <v>-0.3422</v>
      </c>
      <c r="D200">
        <v>-0.2359</v>
      </c>
      <c r="E200">
        <v>-4.8800000000000003E-2</v>
      </c>
      <c r="F200">
        <v>0.80410000000000004</v>
      </c>
      <c r="G200">
        <v>0.15820000000000001</v>
      </c>
    </row>
    <row r="201" spans="1:7" x14ac:dyDescent="0.3">
      <c r="A201">
        <v>100</v>
      </c>
      <c r="B201" t="s">
        <v>9</v>
      </c>
      <c r="C201">
        <v>0</v>
      </c>
      <c r="D201">
        <v>-0.2359</v>
      </c>
      <c r="E201">
        <v>-4.8800000000000003E-2</v>
      </c>
      <c r="F201">
        <v>0.80410000000000004</v>
      </c>
      <c r="G201">
        <v>0.15820000000000001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sheetData>
    <row r="1" spans="1:2" x14ac:dyDescent="0.3">
      <c r="A1" s="1" t="s">
        <v>26</v>
      </c>
      <c r="B1" s="1" t="s">
        <v>45</v>
      </c>
    </row>
    <row r="2" spans="1:2" x14ac:dyDescent="0.3">
      <c r="A2" t="s">
        <v>46</v>
      </c>
      <c r="B2">
        <v>1000</v>
      </c>
    </row>
    <row r="3" spans="1:2" x14ac:dyDescent="0.3">
      <c r="A3" t="s">
        <v>47</v>
      </c>
      <c r="B3">
        <v>0.8</v>
      </c>
    </row>
    <row r="4" spans="1:2" x14ac:dyDescent="0.3">
      <c r="A4" t="s">
        <v>48</v>
      </c>
      <c r="B4">
        <v>0.99</v>
      </c>
    </row>
    <row r="5" spans="1:2" x14ac:dyDescent="0.3">
      <c r="A5" t="s">
        <v>49</v>
      </c>
      <c r="B5">
        <v>7</v>
      </c>
    </row>
    <row r="6" spans="1:2" x14ac:dyDescent="0.3">
      <c r="A6" t="s">
        <v>50</v>
      </c>
      <c r="B6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OD_pairs</vt:lpstr>
      <vt:lpstr>Modes</vt:lpstr>
      <vt:lpstr>Exposure_Dij</vt:lpstr>
      <vt:lpstr>OD_Mode_Params</vt:lpstr>
      <vt:lpstr>DCM_Params</vt:lpstr>
      <vt:lpstr>Taste_Draws</vt:lpstr>
      <vt:lpstr>Global_Params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Atfan Deshmukh</cp:lastModifiedBy>
  <dcterms:created xsi:type="dcterms:W3CDTF">2025-11-24T12:26:14Z</dcterms:created>
  <dcterms:modified xsi:type="dcterms:W3CDTF">2025-11-25T01:20:27Z</dcterms:modified>
</cp:coreProperties>
</file>